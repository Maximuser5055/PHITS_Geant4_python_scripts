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6.04\home\clarence\Geant4_SAF_Calculations\PHITS_Geant4_python_scripts\4_results\e_QA\"/>
    </mc:Choice>
  </mc:AlternateContent>
  <xr:revisionPtr revIDLastSave="0" documentId="13_ncr:1_{FED4D682-E4E4-412C-A8AE-D581369C8268}" xr6:coauthVersionLast="47" xr6:coauthVersionMax="47" xr10:uidLastSave="{00000000-0000-0000-0000-000000000000}"/>
  <bookViews>
    <workbookView xWindow="-108" yWindow="-108" windowWidth="23256" windowHeight="13176" activeTab="3" xr2:uid="{727AC7D9-CB15-476D-9018-9B172206195C}"/>
  </bookViews>
  <sheets>
    <sheet name="Cortical_bone" sheetId="1" r:id="rId1"/>
    <sheet name="Liver" sheetId="2" r:id="rId2"/>
    <sheet name="Lungs" sheetId="3" r:id="rId3"/>
    <sheet name="Thyroi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8" i="4" l="1"/>
  <c r="I16" i="4"/>
  <c r="I24" i="4"/>
  <c r="I32" i="4"/>
  <c r="I24" i="3"/>
  <c r="I32" i="3"/>
  <c r="I8" i="3"/>
  <c r="I16" i="3"/>
  <c r="I16" i="2"/>
  <c r="N8" i="2"/>
  <c r="N9" i="2"/>
  <c r="N10" i="2"/>
  <c r="N11" i="2"/>
  <c r="I32" i="2"/>
  <c r="D8" i="2"/>
  <c r="N35" i="4"/>
  <c r="I35" i="4"/>
  <c r="D35" i="4"/>
  <c r="N34" i="4"/>
  <c r="I34" i="4"/>
  <c r="D34" i="4"/>
  <c r="N33" i="4"/>
  <c r="I33" i="4"/>
  <c r="D33" i="4"/>
  <c r="N32" i="4"/>
  <c r="D32" i="4"/>
  <c r="N27" i="4"/>
  <c r="I27" i="4"/>
  <c r="D27" i="4"/>
  <c r="N26" i="4"/>
  <c r="I26" i="4"/>
  <c r="D26" i="4"/>
  <c r="N25" i="4"/>
  <c r="I25" i="4"/>
  <c r="D25" i="4"/>
  <c r="N24" i="4"/>
  <c r="D24" i="4"/>
  <c r="N19" i="4"/>
  <c r="I19" i="4"/>
  <c r="D19" i="4"/>
  <c r="N18" i="4"/>
  <c r="I18" i="4"/>
  <c r="D18" i="4"/>
  <c r="N17" i="4"/>
  <c r="I17" i="4"/>
  <c r="D17" i="4"/>
  <c r="N16" i="4"/>
  <c r="D16" i="4"/>
  <c r="N11" i="4"/>
  <c r="I11" i="4"/>
  <c r="D11" i="4"/>
  <c r="N10" i="4"/>
  <c r="I10" i="4"/>
  <c r="D10" i="4"/>
  <c r="N9" i="4"/>
  <c r="I9" i="4"/>
  <c r="D9" i="4"/>
  <c r="N8" i="4"/>
  <c r="D8" i="4"/>
  <c r="N35" i="3"/>
  <c r="I35" i="3"/>
  <c r="D35" i="3"/>
  <c r="N34" i="3"/>
  <c r="I34" i="3"/>
  <c r="D34" i="3"/>
  <c r="N33" i="3"/>
  <c r="I33" i="3"/>
  <c r="D33" i="3"/>
  <c r="N32" i="3"/>
  <c r="D32" i="3"/>
  <c r="N27" i="3"/>
  <c r="I27" i="3"/>
  <c r="D27" i="3"/>
  <c r="N26" i="3"/>
  <c r="I26" i="3"/>
  <c r="D26" i="3"/>
  <c r="N25" i="3"/>
  <c r="I25" i="3"/>
  <c r="D25" i="3"/>
  <c r="N24" i="3"/>
  <c r="D24" i="3"/>
  <c r="N19" i="3"/>
  <c r="I19" i="3"/>
  <c r="D19" i="3"/>
  <c r="N18" i="3"/>
  <c r="I18" i="3"/>
  <c r="D18" i="3"/>
  <c r="N17" i="3"/>
  <c r="I17" i="3"/>
  <c r="D17" i="3"/>
  <c r="N16" i="3"/>
  <c r="D16" i="3"/>
  <c r="N11" i="3"/>
  <c r="I11" i="3"/>
  <c r="D11" i="3"/>
  <c r="N10" i="3"/>
  <c r="I10" i="3"/>
  <c r="D10" i="3"/>
  <c r="N9" i="3"/>
  <c r="I9" i="3"/>
  <c r="D9" i="3"/>
  <c r="N8" i="3"/>
  <c r="D8" i="3"/>
  <c r="D32" i="1"/>
  <c r="N35" i="2"/>
  <c r="I35" i="2"/>
  <c r="D35" i="2"/>
  <c r="N34" i="2"/>
  <c r="I34" i="2"/>
  <c r="D34" i="2"/>
  <c r="N33" i="2"/>
  <c r="I33" i="2"/>
  <c r="D33" i="2"/>
  <c r="N32" i="2"/>
  <c r="D32" i="2"/>
  <c r="N27" i="2"/>
  <c r="I27" i="2"/>
  <c r="D27" i="2"/>
  <c r="N26" i="2"/>
  <c r="I26" i="2"/>
  <c r="D26" i="2"/>
  <c r="N25" i="2"/>
  <c r="I25" i="2"/>
  <c r="D25" i="2"/>
  <c r="N24" i="2"/>
  <c r="I24" i="2"/>
  <c r="D24" i="2"/>
  <c r="N19" i="2"/>
  <c r="I19" i="2"/>
  <c r="D19" i="2"/>
  <c r="N18" i="2"/>
  <c r="I18" i="2"/>
  <c r="D18" i="2"/>
  <c r="N17" i="2"/>
  <c r="I17" i="2"/>
  <c r="D17" i="2"/>
  <c r="N16" i="2"/>
  <c r="D16" i="2"/>
  <c r="I11" i="2"/>
  <c r="D11" i="2"/>
  <c r="I10" i="2"/>
  <c r="D10" i="2"/>
  <c r="I9" i="2"/>
  <c r="D9" i="2"/>
  <c r="I8" i="2"/>
  <c r="N35" i="1"/>
  <c r="I35" i="1"/>
  <c r="D35" i="1"/>
  <c r="N34" i="1"/>
  <c r="I34" i="1"/>
  <c r="D34" i="1"/>
  <c r="N33" i="1"/>
  <c r="I33" i="1"/>
  <c r="D33" i="1"/>
  <c r="N32" i="1"/>
  <c r="I32" i="1"/>
  <c r="N27" i="1"/>
  <c r="I27" i="1"/>
  <c r="D27" i="1"/>
  <c r="N26" i="1"/>
  <c r="I26" i="1"/>
  <c r="D26" i="1"/>
  <c r="N25" i="1"/>
  <c r="I25" i="1"/>
  <c r="D25" i="1"/>
  <c r="N24" i="1"/>
  <c r="I24" i="1"/>
  <c r="D24" i="1"/>
  <c r="N19" i="1"/>
  <c r="I19" i="1"/>
  <c r="D19" i="1"/>
  <c r="N18" i="1"/>
  <c r="I18" i="1"/>
  <c r="D18" i="1"/>
  <c r="N17" i="1"/>
  <c r="I17" i="1"/>
  <c r="D17" i="1"/>
  <c r="N16" i="1"/>
  <c r="I16" i="1"/>
  <c r="D16" i="1"/>
  <c r="N11" i="1"/>
  <c r="N10" i="1"/>
  <c r="N9" i="1"/>
  <c r="N8" i="1"/>
  <c r="I8" i="1"/>
  <c r="I9" i="1"/>
  <c r="I10" i="1"/>
  <c r="D8" i="1"/>
  <c r="D9" i="1"/>
  <c r="D10" i="1"/>
  <c r="I11" i="1"/>
  <c r="D11" i="1"/>
</calcChain>
</file>

<file path=xl/sharedStrings.xml><?xml version="1.0" encoding="utf-8"?>
<sst xmlns="http://schemas.openxmlformats.org/spreadsheetml/2006/main" count="300" uniqueCount="18">
  <si>
    <t>Photon Energy (MeV)</t>
  </si>
  <si>
    <t>Source: Cortical Bone</t>
  </si>
  <si>
    <t>Male</t>
  </si>
  <si>
    <t>RBM</t>
  </si>
  <si>
    <t>Results</t>
  </si>
  <si>
    <t>% Error</t>
  </si>
  <si>
    <t>Colon</t>
  </si>
  <si>
    <t>Lungs</t>
  </si>
  <si>
    <t>Endosteum</t>
  </si>
  <si>
    <t>Brain</t>
  </si>
  <si>
    <t>Muscle</t>
  </si>
  <si>
    <t>Female</t>
  </si>
  <si>
    <t>Source: Liver</t>
  </si>
  <si>
    <t>Source: Lungs</t>
  </si>
  <si>
    <t>Source: Thyroid</t>
  </si>
  <si>
    <t>Wyatt et al.</t>
  </si>
  <si>
    <t>Photon</t>
  </si>
  <si>
    <t>Results vs Smither et al.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</si>
</sst>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E+0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64" fontId="2" fillId="0" borderId="0" xfId="0" applyNumberFormat="1" applyFont="1" applyAlignment="1">
      <alignment horizontal="center" vertical="center"/>
    </xf>
    <xf numFmtId="11" fontId="0" fillId="0" borderId="0" xfId="0" applyNumberFormat="1" applyAlignment="1">
      <alignment horizontal="right"/>
    </xf>
    <xf numFmtId="11" fontId="0" fillId="0" borderId="0" xfId="0" applyNumberFormat="1"/>
    <xf numFmtId="0" fontId="1" fillId="0" borderId="0" xfId="0" applyFont="1"/>
    <xf numFmtId="16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left" vertical="center"/>
    </xf>
    <xf numFmtId="16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2" fillId="0" borderId="0" xfId="0" applyNumberFormat="1" applyFont="1" applyAlignment="1">
      <alignment horizontal="left" vertical="center"/>
    </xf>
    <xf numFmtId="1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86213-346E-4085-A246-BA1A1D4BC51F}">
  <dimension ref="A1:N35"/>
  <sheetViews>
    <sheetView zoomScale="81" workbookViewId="0"/>
  </sheetViews>
  <sheetFormatPr defaultRowHeight="14.4" x14ac:dyDescent="0.3"/>
  <cols>
    <col min="1" max="1" width="27.109375" bestFit="1" customWidth="1"/>
    <col min="2" max="3" width="12" style="5" bestFit="1" customWidth="1"/>
    <col min="4" max="4" width="15.88671875" bestFit="1" customWidth="1"/>
    <col min="6" max="6" width="19.33203125" bestFit="1" customWidth="1"/>
    <col min="7" max="7" width="8.88671875" style="5"/>
    <col min="8" max="8" width="12.77734375" style="5" bestFit="1" customWidth="1"/>
    <col min="11" max="11" width="19.33203125" bestFit="1" customWidth="1"/>
    <col min="12" max="12" width="8.88671875" style="5"/>
    <col min="13" max="13" width="9.88671875" style="5" bestFit="1" customWidth="1"/>
  </cols>
  <sheetData>
    <row r="1" spans="1:14" x14ac:dyDescent="0.3">
      <c r="A1" s="1" t="s">
        <v>17</v>
      </c>
      <c r="B1" s="4"/>
      <c r="C1" s="4"/>
      <c r="D1" s="1"/>
    </row>
    <row r="2" spans="1:14" x14ac:dyDescent="0.3">
      <c r="A2" s="2" t="s">
        <v>16</v>
      </c>
      <c r="B2" s="4"/>
      <c r="C2" s="4"/>
      <c r="D2" s="1"/>
    </row>
    <row r="3" spans="1:14" x14ac:dyDescent="0.3">
      <c r="A3" s="1"/>
      <c r="B3" s="4"/>
      <c r="C3" s="4"/>
      <c r="D3" s="1"/>
    </row>
    <row r="4" spans="1:14" x14ac:dyDescent="0.3">
      <c r="A4" s="2" t="s">
        <v>1</v>
      </c>
      <c r="B4" s="4"/>
      <c r="C4" s="4"/>
      <c r="D4" s="1"/>
    </row>
    <row r="5" spans="1:14" x14ac:dyDescent="0.3">
      <c r="A5" s="2" t="s">
        <v>2</v>
      </c>
      <c r="B5" s="4"/>
      <c r="C5" s="4"/>
      <c r="D5" s="1"/>
      <c r="F5" s="2" t="s">
        <v>2</v>
      </c>
      <c r="G5" s="4"/>
      <c r="H5" s="4"/>
      <c r="I5" s="1"/>
      <c r="K5" s="2" t="s">
        <v>2</v>
      </c>
      <c r="L5" s="4"/>
      <c r="M5" s="4"/>
      <c r="N5" s="1"/>
    </row>
    <row r="6" spans="1:14" x14ac:dyDescent="0.3">
      <c r="A6" s="2" t="s">
        <v>3</v>
      </c>
      <c r="B6" s="4"/>
      <c r="C6" s="4"/>
      <c r="D6" s="1"/>
      <c r="F6" s="2" t="s">
        <v>6</v>
      </c>
      <c r="G6" s="4"/>
      <c r="H6" s="4"/>
      <c r="I6" s="1"/>
      <c r="K6" s="2" t="s">
        <v>7</v>
      </c>
      <c r="L6" s="4"/>
      <c r="M6" s="4"/>
      <c r="N6" s="1"/>
    </row>
    <row r="7" spans="1:14" x14ac:dyDescent="0.3">
      <c r="A7" s="1" t="s">
        <v>0</v>
      </c>
      <c r="B7" s="4" t="s">
        <v>4</v>
      </c>
      <c r="C7" s="4" t="s">
        <v>15</v>
      </c>
      <c r="D7" s="2" t="s">
        <v>5</v>
      </c>
      <c r="F7" s="1" t="s">
        <v>0</v>
      </c>
      <c r="G7" s="4" t="s">
        <v>4</v>
      </c>
      <c r="H7" s="4" t="s">
        <v>15</v>
      </c>
      <c r="I7" s="2" t="s">
        <v>5</v>
      </c>
      <c r="K7" s="1" t="s">
        <v>0</v>
      </c>
      <c r="L7" s="4" t="s">
        <v>4</v>
      </c>
      <c r="M7" s="4" t="s">
        <v>15</v>
      </c>
      <c r="N7" s="2" t="s">
        <v>5</v>
      </c>
    </row>
    <row r="8" spans="1:14" x14ac:dyDescent="0.3">
      <c r="A8" s="1">
        <v>0.01</v>
      </c>
      <c r="B8" s="5">
        <v>2.5843614172060001E-3</v>
      </c>
      <c r="C8" s="8">
        <v>2.7950000000000002E-3</v>
      </c>
      <c r="D8" s="2">
        <f t="shared" ref="D8:D10" si="0">((B8-C8)/C8)*100</f>
        <v>-7.5362641428980348</v>
      </c>
      <c r="F8" s="1">
        <v>0.01</v>
      </c>
      <c r="G8" s="5">
        <v>2.95972106959582E-5</v>
      </c>
      <c r="H8" s="8">
        <v>2.879E-5</v>
      </c>
      <c r="I8" s="2">
        <f>((G8-H8)/H8)*100</f>
        <v>2.8037884541792262</v>
      </c>
      <c r="K8" s="1">
        <v>0.01</v>
      </c>
      <c r="L8" s="5">
        <v>5.1227109901148696E-4</v>
      </c>
      <c r="M8" s="8">
        <v>5.0440000000000001E-4</v>
      </c>
      <c r="N8" s="2">
        <f t="shared" ref="N8:N10" si="1">((L8-M8)/M8)*100</f>
        <v>1.5604875121901169</v>
      </c>
    </row>
    <row r="9" spans="1:14" x14ac:dyDescent="0.3">
      <c r="A9" s="1">
        <v>0.1</v>
      </c>
      <c r="B9" s="5">
        <v>8.1759435528164E-3</v>
      </c>
      <c r="C9" s="8">
        <v>8.1110000000000002E-3</v>
      </c>
      <c r="D9" s="2">
        <f t="shared" si="0"/>
        <v>0.80068490711872631</v>
      </c>
      <c r="F9" s="1">
        <v>0.1</v>
      </c>
      <c r="G9" s="5">
        <v>2.9123627196623999E-3</v>
      </c>
      <c r="H9" s="8">
        <v>2.9169999999999999E-3</v>
      </c>
      <c r="I9" s="2">
        <f>((G9-H9)/H9)*100</f>
        <v>-0.15897430022625869</v>
      </c>
      <c r="K9" s="1">
        <v>0.1</v>
      </c>
      <c r="L9" s="5">
        <v>5.3937846877720004E-3</v>
      </c>
      <c r="M9" s="7">
        <v>5.4079999999999996E-3</v>
      </c>
      <c r="N9" s="2">
        <f t="shared" si="1"/>
        <v>-0.26285710480767838</v>
      </c>
    </row>
    <row r="10" spans="1:14" x14ac:dyDescent="0.3">
      <c r="A10" s="1">
        <v>1</v>
      </c>
      <c r="B10" s="5">
        <v>7.9469200866149007E-3</v>
      </c>
      <c r="C10" s="8">
        <v>8.0870000000000004E-3</v>
      </c>
      <c r="D10" s="2">
        <f t="shared" si="0"/>
        <v>-1.7321616592691942</v>
      </c>
      <c r="F10" s="1">
        <v>1</v>
      </c>
      <c r="G10" s="5">
        <v>2.6387992037966001E-3</v>
      </c>
      <c r="H10" s="8">
        <v>2.64E-3</v>
      </c>
      <c r="I10" s="2">
        <f>((G10-H10)/H10)*100</f>
        <v>-4.5484704674238569E-2</v>
      </c>
      <c r="K10" s="1">
        <v>1</v>
      </c>
      <c r="L10" s="5">
        <v>4.6453813628723004E-3</v>
      </c>
      <c r="M10" s="7">
        <v>4.64E-3</v>
      </c>
      <c r="N10" s="2">
        <f t="shared" si="1"/>
        <v>0.11597764810992239</v>
      </c>
    </row>
    <row r="11" spans="1:14" x14ac:dyDescent="0.3">
      <c r="A11" s="1">
        <v>10</v>
      </c>
      <c r="B11" s="5">
        <v>4.5065833463166999E-3</v>
      </c>
      <c r="C11" s="8">
        <v>4.6220000000000002E-3</v>
      </c>
      <c r="D11" s="2">
        <f>((B11-C11)/C11)*100</f>
        <v>-2.4971149650216429</v>
      </c>
      <c r="F11" s="1">
        <v>10</v>
      </c>
      <c r="G11" s="5">
        <v>1.6473674901865E-3</v>
      </c>
      <c r="H11" s="8">
        <v>1.6570000000000001E-3</v>
      </c>
      <c r="I11" s="2">
        <f>((G11-H11)/H11)*100</f>
        <v>-0.58132225790585978</v>
      </c>
      <c r="K11" s="1">
        <v>10</v>
      </c>
      <c r="L11" s="5">
        <v>2.5302120013753E-3</v>
      </c>
      <c r="M11" s="7">
        <v>2.5409999999999999E-3</v>
      </c>
      <c r="N11" s="2">
        <f>((L11-M11)/M11)*100</f>
        <v>-0.42455720679652936</v>
      </c>
    </row>
    <row r="12" spans="1:14" x14ac:dyDescent="0.3">
      <c r="B12" s="4"/>
      <c r="C12" s="4"/>
      <c r="D12" s="2"/>
      <c r="I12" s="6"/>
      <c r="N12" s="6"/>
    </row>
    <row r="13" spans="1:14" x14ac:dyDescent="0.3">
      <c r="A13" s="2" t="s">
        <v>2</v>
      </c>
      <c r="B13" s="4"/>
      <c r="C13" s="4"/>
      <c r="D13" s="2"/>
      <c r="F13" s="2" t="s">
        <v>2</v>
      </c>
      <c r="G13" s="4"/>
      <c r="H13" s="4"/>
      <c r="I13" s="2"/>
      <c r="K13" s="2" t="s">
        <v>2</v>
      </c>
      <c r="L13" s="4"/>
      <c r="M13" s="4"/>
      <c r="N13" s="2"/>
    </row>
    <row r="14" spans="1:14" x14ac:dyDescent="0.3">
      <c r="A14" s="2" t="s">
        <v>8</v>
      </c>
      <c r="B14" s="4"/>
      <c r="C14" s="4"/>
      <c r="D14" s="2"/>
      <c r="F14" s="2" t="s">
        <v>9</v>
      </c>
      <c r="G14" s="4"/>
      <c r="H14" s="4"/>
      <c r="I14" s="2"/>
      <c r="K14" s="2" t="s">
        <v>10</v>
      </c>
      <c r="L14" s="4"/>
      <c r="M14" s="4"/>
      <c r="N14" s="2"/>
    </row>
    <row r="15" spans="1:14" x14ac:dyDescent="0.3">
      <c r="A15" s="1" t="s">
        <v>0</v>
      </c>
      <c r="B15" s="4" t="s">
        <v>4</v>
      </c>
      <c r="C15" s="4" t="s">
        <v>15</v>
      </c>
      <c r="D15" s="2" t="s">
        <v>5</v>
      </c>
      <c r="F15" s="1" t="s">
        <v>0</v>
      </c>
      <c r="G15" s="4" t="s">
        <v>4</v>
      </c>
      <c r="H15" s="4" t="s">
        <v>15</v>
      </c>
      <c r="I15" s="2" t="s">
        <v>5</v>
      </c>
      <c r="K15" s="1" t="s">
        <v>0</v>
      </c>
      <c r="L15" s="4" t="s">
        <v>4</v>
      </c>
      <c r="M15" s="4" t="s">
        <v>15</v>
      </c>
      <c r="N15" s="2" t="s">
        <v>5</v>
      </c>
    </row>
    <row r="16" spans="1:14" x14ac:dyDescent="0.3">
      <c r="A16" s="1">
        <v>0.01</v>
      </c>
      <c r="B16" s="5">
        <v>1.8835608902091001E-3</v>
      </c>
      <c r="C16" s="7">
        <v>2.0240000000000002E-3</v>
      </c>
      <c r="D16" s="2">
        <f t="shared" ref="D16:D18" si="2">((B16-C16)/C16)*100</f>
        <v>-6.9386911952025745</v>
      </c>
      <c r="F16" s="1">
        <v>0.01</v>
      </c>
      <c r="G16" s="5">
        <v>8.6536471109219997E-4</v>
      </c>
      <c r="H16" s="8">
        <v>8.5919999999999996E-4</v>
      </c>
      <c r="I16" s="2">
        <f>((G16-H16)/H16)*100</f>
        <v>0.71749430775139744</v>
      </c>
      <c r="K16" s="1">
        <v>0.01</v>
      </c>
      <c r="L16" s="5">
        <v>6.692661157409E-4</v>
      </c>
      <c r="M16" s="7">
        <v>6.6489999999999995E-4</v>
      </c>
      <c r="N16" s="2">
        <f t="shared" ref="N16" si="3">((L16-M16)/M16)*100</f>
        <v>0.65665750351933394</v>
      </c>
    </row>
    <row r="17" spans="1:14" x14ac:dyDescent="0.3">
      <c r="A17" s="1">
        <v>0.1</v>
      </c>
      <c r="B17" s="5">
        <v>9.4690635595354004E-3</v>
      </c>
      <c r="C17" s="7">
        <v>9.4280000000000006E-3</v>
      </c>
      <c r="D17" s="2">
        <f t="shared" si="2"/>
        <v>0.43554899804200065</v>
      </c>
      <c r="F17" s="1">
        <v>0.1</v>
      </c>
      <c r="G17" s="5">
        <v>7.2566782920644004E-3</v>
      </c>
      <c r="H17" s="8">
        <v>7.228E-3</v>
      </c>
      <c r="I17" s="2">
        <f>((G17-H17)/H17)*100</f>
        <v>0.39676663066408835</v>
      </c>
      <c r="K17" s="1">
        <v>0.1</v>
      </c>
      <c r="L17" s="5">
        <v>3.9918750250784001E-3</v>
      </c>
      <c r="M17" s="7">
        <v>3.9909999999999998E-3</v>
      </c>
      <c r="N17" s="2">
        <f>((L17-M17)/M17)*100</f>
        <v>2.1924958115768018E-2</v>
      </c>
    </row>
    <row r="18" spans="1:14" x14ac:dyDescent="0.3">
      <c r="A18" s="1">
        <v>1</v>
      </c>
      <c r="B18" s="5">
        <v>7.2251592932879001E-3</v>
      </c>
      <c r="C18" s="7">
        <v>7.4110000000000001E-3</v>
      </c>
      <c r="D18" s="2">
        <f t="shared" si="2"/>
        <v>-2.5076333384442031</v>
      </c>
      <c r="F18" s="1">
        <v>1</v>
      </c>
      <c r="G18" s="5">
        <v>6.8677988659273997E-3</v>
      </c>
      <c r="H18" s="8">
        <v>6.875E-3</v>
      </c>
      <c r="I18" s="2">
        <f>((G18-H18)/H18)*100</f>
        <v>-0.10474376832873201</v>
      </c>
      <c r="K18" s="1">
        <v>1</v>
      </c>
      <c r="L18" s="5">
        <v>3.9327708919696999E-3</v>
      </c>
      <c r="M18" s="7">
        <v>3.9449999999999997E-3</v>
      </c>
      <c r="N18" s="2">
        <f>((L18-M18)/M18)*100</f>
        <v>-0.30999006413941371</v>
      </c>
    </row>
    <row r="19" spans="1:14" x14ac:dyDescent="0.3">
      <c r="A19" s="1">
        <v>10</v>
      </c>
      <c r="B19" s="5">
        <v>4.0865365906768997E-3</v>
      </c>
      <c r="C19" s="7">
        <v>4.1939999999999998E-3</v>
      </c>
      <c r="D19" s="2">
        <f>((B19-C19)/C19)*100</f>
        <v>-2.5623130501454474</v>
      </c>
      <c r="F19" s="1">
        <v>10</v>
      </c>
      <c r="G19" s="5">
        <v>3.5984466042338001E-3</v>
      </c>
      <c r="H19" s="8">
        <v>3.6180000000000001E-3</v>
      </c>
      <c r="I19" s="2">
        <f>((G19-H19)/H19)*100</f>
        <v>-0.5404476441735776</v>
      </c>
      <c r="K19" s="1">
        <v>10</v>
      </c>
      <c r="L19" s="5">
        <v>2.1353105471689999E-3</v>
      </c>
      <c r="M19" s="7">
        <v>2.1459999999999999E-3</v>
      </c>
      <c r="N19" s="2">
        <f>((L19-M19)/M19)*100</f>
        <v>-0.49811056994408442</v>
      </c>
    </row>
    <row r="20" spans="1:14" x14ac:dyDescent="0.3">
      <c r="D20" s="6"/>
      <c r="I20" s="6"/>
      <c r="N20" s="6"/>
    </row>
    <row r="21" spans="1:14" x14ac:dyDescent="0.3">
      <c r="A21" s="2" t="s">
        <v>11</v>
      </c>
      <c r="B21" s="4"/>
      <c r="C21" s="4"/>
      <c r="D21" s="2"/>
      <c r="F21" s="2" t="s">
        <v>11</v>
      </c>
      <c r="G21" s="4"/>
      <c r="H21" s="4"/>
      <c r="I21" s="2"/>
      <c r="K21" s="2" t="s">
        <v>11</v>
      </c>
      <c r="L21" s="4"/>
      <c r="M21" s="4"/>
      <c r="N21" s="2"/>
    </row>
    <row r="22" spans="1:14" x14ac:dyDescent="0.3">
      <c r="A22" s="2" t="s">
        <v>3</v>
      </c>
      <c r="B22" s="4"/>
      <c r="C22" s="4"/>
      <c r="D22" s="2"/>
      <c r="F22" s="2" t="s">
        <v>6</v>
      </c>
      <c r="G22" s="4"/>
      <c r="H22" s="4"/>
      <c r="I22" s="2"/>
      <c r="K22" s="2" t="s">
        <v>7</v>
      </c>
      <c r="L22" s="4"/>
      <c r="M22" s="4"/>
      <c r="N22" s="2"/>
    </row>
    <row r="23" spans="1:14" x14ac:dyDescent="0.3">
      <c r="A23" s="1" t="s">
        <v>0</v>
      </c>
      <c r="B23" s="4" t="s">
        <v>4</v>
      </c>
      <c r="C23" s="4" t="s">
        <v>15</v>
      </c>
      <c r="D23" s="2" t="s">
        <v>5</v>
      </c>
      <c r="F23" s="1" t="s">
        <v>0</v>
      </c>
      <c r="G23" s="4" t="s">
        <v>4</v>
      </c>
      <c r="H23" s="4" t="s">
        <v>15</v>
      </c>
      <c r="I23" s="2" t="s">
        <v>5</v>
      </c>
      <c r="K23" s="1" t="s">
        <v>0</v>
      </c>
      <c r="L23" s="4" t="s">
        <v>4</v>
      </c>
      <c r="M23" s="4" t="s">
        <v>15</v>
      </c>
      <c r="N23" s="2" t="s">
        <v>5</v>
      </c>
    </row>
    <row r="24" spans="1:14" x14ac:dyDescent="0.3">
      <c r="A24" s="1">
        <v>0.01</v>
      </c>
      <c r="B24" s="5">
        <v>3.8889000089432002E-3</v>
      </c>
      <c r="C24" s="3">
        <v>4.2040000000000003E-3</v>
      </c>
      <c r="D24" s="2">
        <f t="shared" ref="D24:D26" si="4">((B24-C24)/C24)*100</f>
        <v>-7.4952424133396782</v>
      </c>
      <c r="F24" s="1">
        <v>0.01</v>
      </c>
      <c r="G24" s="5">
        <v>2.0239872674780699E-5</v>
      </c>
      <c r="H24" s="3">
        <v>1.9910000000000001E-5</v>
      </c>
      <c r="I24" s="2">
        <f>((G24-H24)/H24)*100</f>
        <v>1.6568190596720149</v>
      </c>
      <c r="K24" s="1">
        <v>0.01</v>
      </c>
      <c r="L24" s="5">
        <v>8.5523229259710002E-4</v>
      </c>
      <c r="M24" s="3">
        <v>8.4650000000000003E-4</v>
      </c>
      <c r="N24" s="2">
        <f t="shared" ref="N24:N26" si="5">((L24-M24)/M24)*100</f>
        <v>1.0315762075723554</v>
      </c>
    </row>
    <row r="25" spans="1:14" x14ac:dyDescent="0.3">
      <c r="A25" s="1">
        <v>0.1</v>
      </c>
      <c r="B25" s="5">
        <v>9.2244478245646997E-3</v>
      </c>
      <c r="C25" s="3">
        <v>9.1509999999999994E-3</v>
      </c>
      <c r="D25" s="2">
        <f t="shared" si="4"/>
        <v>0.80262074707354714</v>
      </c>
      <c r="F25" s="1">
        <v>0.1</v>
      </c>
      <c r="G25" s="5">
        <v>4.1088753325816E-3</v>
      </c>
      <c r="H25" s="3">
        <v>4.1110000000000001E-3</v>
      </c>
      <c r="I25" s="2">
        <f>((G25-H25)/H25)*100</f>
        <v>-5.1682496190710532E-2</v>
      </c>
      <c r="K25" s="1">
        <v>0.1</v>
      </c>
      <c r="L25" s="5">
        <v>5.6162484794693001E-3</v>
      </c>
      <c r="M25" s="3">
        <v>5.6290000000000003E-3</v>
      </c>
      <c r="N25" s="2">
        <f t="shared" si="5"/>
        <v>-0.22653260846864845</v>
      </c>
    </row>
    <row r="26" spans="1:14" x14ac:dyDescent="0.3">
      <c r="A26" s="1">
        <v>1</v>
      </c>
      <c r="B26" s="5">
        <v>8.9180176907053994E-3</v>
      </c>
      <c r="C26" s="3">
        <v>9.0760000000000007E-3</v>
      </c>
      <c r="D26" s="2">
        <f t="shared" si="4"/>
        <v>-1.7406600847796529</v>
      </c>
      <c r="F26" s="1">
        <v>1</v>
      </c>
      <c r="G26" s="5">
        <v>3.5488409033315E-3</v>
      </c>
      <c r="H26" s="3">
        <v>3.5569999999999998E-3</v>
      </c>
      <c r="I26" s="2">
        <f>((G26-H26)/H26)*100</f>
        <v>-0.22938140760471742</v>
      </c>
      <c r="K26" s="1">
        <v>1</v>
      </c>
      <c r="L26" s="5">
        <v>4.830794921261E-3</v>
      </c>
      <c r="M26" s="3">
        <v>4.8320000000000004E-3</v>
      </c>
      <c r="N26" s="2">
        <f t="shared" si="5"/>
        <v>-2.4939543439576682E-2</v>
      </c>
    </row>
    <row r="27" spans="1:14" x14ac:dyDescent="0.3">
      <c r="A27" s="1">
        <v>10</v>
      </c>
      <c r="B27" s="5">
        <v>5.0269941291337999E-3</v>
      </c>
      <c r="C27" s="3">
        <v>5.1549999999999999E-3</v>
      </c>
      <c r="D27" s="2">
        <f>((B27-C27)/C27)*100</f>
        <v>-2.4831400749990293</v>
      </c>
      <c r="F27" s="1">
        <v>10</v>
      </c>
      <c r="G27" s="5">
        <v>2.1511875085669001E-3</v>
      </c>
      <c r="H27" s="3">
        <v>2.1610000000000002E-3</v>
      </c>
      <c r="I27" s="2">
        <f>((G27-H27)/H27)*100</f>
        <v>-0.45407179236927558</v>
      </c>
      <c r="K27" s="1">
        <v>10</v>
      </c>
      <c r="L27" s="5">
        <v>2.5981645471703E-3</v>
      </c>
      <c r="M27" s="3">
        <v>2.6150000000000001E-3</v>
      </c>
      <c r="N27" s="2">
        <f>((L27-M27)/M27)*100</f>
        <v>-0.64380316748375344</v>
      </c>
    </row>
    <row r="28" spans="1:14" x14ac:dyDescent="0.3">
      <c r="B28" s="4"/>
      <c r="C28" s="4"/>
      <c r="D28" s="2"/>
      <c r="N28" s="6"/>
    </row>
    <row r="29" spans="1:14" x14ac:dyDescent="0.3">
      <c r="A29" s="2" t="s">
        <v>11</v>
      </c>
      <c r="B29" s="4"/>
      <c r="C29" s="4"/>
      <c r="D29" s="2"/>
      <c r="F29" s="2" t="s">
        <v>11</v>
      </c>
      <c r="G29" s="4"/>
      <c r="H29" s="4"/>
      <c r="I29" s="1"/>
      <c r="K29" s="2" t="s">
        <v>11</v>
      </c>
      <c r="L29" s="4"/>
      <c r="M29" s="4"/>
      <c r="N29" s="2"/>
    </row>
    <row r="30" spans="1:14" x14ac:dyDescent="0.3">
      <c r="A30" s="2" t="s">
        <v>8</v>
      </c>
      <c r="B30" s="4"/>
      <c r="C30" s="4"/>
      <c r="D30" s="2"/>
      <c r="F30" s="2" t="s">
        <v>9</v>
      </c>
      <c r="G30" s="4"/>
      <c r="H30" s="4"/>
      <c r="I30" s="1"/>
      <c r="K30" s="2" t="s">
        <v>10</v>
      </c>
      <c r="L30" s="4"/>
      <c r="M30" s="4"/>
      <c r="N30" s="2"/>
    </row>
    <row r="31" spans="1:14" x14ac:dyDescent="0.3">
      <c r="A31" s="1" t="s">
        <v>0</v>
      </c>
      <c r="B31" s="4" t="s">
        <v>4</v>
      </c>
      <c r="C31" s="4" t="s">
        <v>15</v>
      </c>
      <c r="D31" s="2" t="s">
        <v>5</v>
      </c>
      <c r="F31" s="1" t="s">
        <v>0</v>
      </c>
      <c r="G31" s="4" t="s">
        <v>4</v>
      </c>
      <c r="H31" s="4" t="s">
        <v>15</v>
      </c>
      <c r="I31" s="2" t="s">
        <v>5</v>
      </c>
      <c r="K31" s="1" t="s">
        <v>0</v>
      </c>
      <c r="L31" s="4" t="s">
        <v>4</v>
      </c>
      <c r="M31" s="4" t="s">
        <v>15</v>
      </c>
      <c r="N31" s="2" t="s">
        <v>5</v>
      </c>
    </row>
    <row r="32" spans="1:14" x14ac:dyDescent="0.3">
      <c r="A32" s="1">
        <v>0.01</v>
      </c>
      <c r="B32" s="5">
        <v>2.6922386500944999E-3</v>
      </c>
      <c r="C32" s="3">
        <v>2.8960000000000001E-3</v>
      </c>
      <c r="D32" s="2">
        <f t="shared" ref="D32:D34" si="6">((B32-C32)/C32)*100</f>
        <v>-7.0359582149689288</v>
      </c>
      <c r="F32" s="1">
        <v>0.01</v>
      </c>
      <c r="G32" s="5">
        <v>1.2581795959458999E-3</v>
      </c>
      <c r="H32" s="3">
        <v>1.253E-3</v>
      </c>
      <c r="I32" s="2">
        <f>((G32-H32)/H32)*100</f>
        <v>0.41337557429369143</v>
      </c>
      <c r="K32" s="1">
        <v>0.01</v>
      </c>
      <c r="L32" s="5">
        <v>1.1328922835045999E-3</v>
      </c>
      <c r="M32" s="3">
        <v>1.126E-3</v>
      </c>
      <c r="N32" s="2">
        <f t="shared" ref="N32:N34" si="7">((L32-M32)/M32)*100</f>
        <v>0.61210333078151713</v>
      </c>
    </row>
    <row r="33" spans="1:14" x14ac:dyDescent="0.3">
      <c r="A33" s="1">
        <v>0.1</v>
      </c>
      <c r="B33" s="5">
        <v>1.1380568424318701E-2</v>
      </c>
      <c r="C33" s="3">
        <v>1.1339999999999999E-2</v>
      </c>
      <c r="D33" s="2">
        <f t="shared" si="6"/>
        <v>0.35774624619665973</v>
      </c>
      <c r="F33" s="1">
        <v>0.1</v>
      </c>
      <c r="G33" s="5">
        <v>7.9811975837370003E-3</v>
      </c>
      <c r="H33" s="3">
        <v>7.9290000000000003E-3</v>
      </c>
      <c r="I33" s="2">
        <f>((G33-H33)/H33)*100</f>
        <v>0.6583123185395392</v>
      </c>
      <c r="K33" s="1">
        <v>0.1</v>
      </c>
      <c r="L33" s="5">
        <v>5.3371603294533002E-3</v>
      </c>
      <c r="M33" s="3">
        <v>5.3379999999999999E-3</v>
      </c>
      <c r="N33" s="2">
        <f t="shared" si="7"/>
        <v>-1.5730058949037798E-2</v>
      </c>
    </row>
    <row r="34" spans="1:14" x14ac:dyDescent="0.3">
      <c r="A34" s="1">
        <v>1</v>
      </c>
      <c r="B34" s="5">
        <v>8.7315251819197002E-3</v>
      </c>
      <c r="C34" s="3">
        <v>8.9540000000000002E-3</v>
      </c>
      <c r="D34" s="2">
        <f t="shared" si="6"/>
        <v>-2.4846417029294168</v>
      </c>
      <c r="F34" s="1">
        <v>1</v>
      </c>
      <c r="G34" s="5">
        <v>7.6315511788949998E-3</v>
      </c>
      <c r="H34" s="3">
        <v>7.6639999999999998E-3</v>
      </c>
      <c r="I34" s="2">
        <f>((G34-H34)/H34)*100</f>
        <v>-0.42339275972077234</v>
      </c>
      <c r="K34" s="1">
        <v>1</v>
      </c>
      <c r="L34" s="5">
        <v>5.1315643847527001E-3</v>
      </c>
      <c r="M34" s="3">
        <v>5.1450000000000003E-3</v>
      </c>
      <c r="N34" s="2">
        <f t="shared" si="7"/>
        <v>-0.26113926622546479</v>
      </c>
    </row>
    <row r="35" spans="1:14" x14ac:dyDescent="0.3">
      <c r="A35" s="1">
        <v>10</v>
      </c>
      <c r="B35" s="5">
        <v>4.9045934027899E-3</v>
      </c>
      <c r="C35" s="3">
        <v>5.0350000000000004E-3</v>
      </c>
      <c r="D35" s="2">
        <f>((B35-C35)/C35)*100</f>
        <v>-2.5900019306871971</v>
      </c>
      <c r="F35" s="1">
        <v>10</v>
      </c>
      <c r="G35" s="5">
        <v>3.9654138090496997E-3</v>
      </c>
      <c r="H35" s="3">
        <v>4.0020000000000003E-3</v>
      </c>
      <c r="I35" s="2">
        <f>((G35-H35)/H35)*100</f>
        <v>-0.91419767492005533</v>
      </c>
      <c r="K35" s="1">
        <v>10</v>
      </c>
      <c r="L35" s="5">
        <v>2.6828706491728001E-3</v>
      </c>
      <c r="M35" s="3">
        <v>2.6970000000000002E-3</v>
      </c>
      <c r="N35" s="2">
        <f>((L35-M35)/M35)*100</f>
        <v>-0.52389139144234587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EBD87-97D2-4761-95CF-57BC333209B1}">
  <dimension ref="A1:N35"/>
  <sheetViews>
    <sheetView zoomScale="75" workbookViewId="0"/>
  </sheetViews>
  <sheetFormatPr defaultRowHeight="14.4" x14ac:dyDescent="0.3"/>
  <cols>
    <col min="1" max="1" width="27" bestFit="1" customWidth="1"/>
    <col min="2" max="2" width="9.44140625" style="13" bestFit="1" customWidth="1"/>
    <col min="3" max="3" width="11" style="13" bestFit="1" customWidth="1"/>
    <col min="4" max="4" width="8.88671875" style="13"/>
    <col min="6" max="6" width="17.5546875" bestFit="1" customWidth="1"/>
    <col min="7" max="7" width="9.44140625" style="13" bestFit="1" customWidth="1"/>
    <col min="8" max="8" width="11" style="13" bestFit="1" customWidth="1"/>
    <col min="9" max="9" width="8.88671875" style="13"/>
    <col min="11" max="11" width="17.5546875" bestFit="1" customWidth="1"/>
    <col min="12" max="12" width="9.44140625" style="13" bestFit="1" customWidth="1"/>
    <col min="13" max="13" width="11" style="13" bestFit="1" customWidth="1"/>
    <col min="14" max="14" width="9" style="13" customWidth="1"/>
  </cols>
  <sheetData>
    <row r="1" spans="1:14" x14ac:dyDescent="0.3">
      <c r="A1" s="1" t="s">
        <v>17</v>
      </c>
    </row>
    <row r="2" spans="1:14" x14ac:dyDescent="0.3">
      <c r="A2" s="2" t="s">
        <v>16</v>
      </c>
    </row>
    <row r="3" spans="1:14" x14ac:dyDescent="0.3">
      <c r="A3" s="1"/>
    </row>
    <row r="4" spans="1:14" x14ac:dyDescent="0.3">
      <c r="A4" s="2" t="s">
        <v>12</v>
      </c>
    </row>
    <row r="5" spans="1:14" x14ac:dyDescent="0.3">
      <c r="A5" s="2" t="s">
        <v>2</v>
      </c>
      <c r="F5" s="2" t="s">
        <v>2</v>
      </c>
      <c r="K5" s="2" t="s">
        <v>2</v>
      </c>
    </row>
    <row r="6" spans="1:14" x14ac:dyDescent="0.3">
      <c r="A6" s="2" t="s">
        <v>3</v>
      </c>
      <c r="F6" s="2" t="s">
        <v>6</v>
      </c>
      <c r="K6" s="2" t="s">
        <v>7</v>
      </c>
    </row>
    <row r="7" spans="1:14" x14ac:dyDescent="0.3">
      <c r="A7" s="1" t="s">
        <v>0</v>
      </c>
      <c r="B7" s="13" t="s">
        <v>4</v>
      </c>
      <c r="C7" s="15" t="s">
        <v>15</v>
      </c>
      <c r="D7" s="13" t="s">
        <v>5</v>
      </c>
      <c r="F7" s="1" t="s">
        <v>0</v>
      </c>
      <c r="G7" s="13" t="s">
        <v>4</v>
      </c>
      <c r="H7" s="15" t="s">
        <v>15</v>
      </c>
      <c r="I7" s="13" t="s">
        <v>5</v>
      </c>
      <c r="K7" s="1" t="s">
        <v>0</v>
      </c>
      <c r="L7" s="13" t="s">
        <v>4</v>
      </c>
      <c r="M7" s="15" t="s">
        <v>15</v>
      </c>
      <c r="N7" s="13" t="s">
        <v>5</v>
      </c>
    </row>
    <row r="8" spans="1:14" x14ac:dyDescent="0.3">
      <c r="A8" s="1">
        <v>0.01</v>
      </c>
      <c r="B8" s="10">
        <v>9.0859711106377605E-7</v>
      </c>
      <c r="C8" s="11">
        <v>9.7189999999999996E-7</v>
      </c>
      <c r="D8" s="12">
        <f>((B8-C8)/C8)*100</f>
        <v>-6.5133129886021113</v>
      </c>
      <c r="F8" s="1">
        <v>0.01</v>
      </c>
      <c r="G8" s="10">
        <v>1.1300915751383E-3</v>
      </c>
      <c r="H8" s="11">
        <v>1.119E-3</v>
      </c>
      <c r="I8" s="12">
        <f t="shared" ref="I8:I10" si="0">((G8-H8)/H8)*100</f>
        <v>0.99120421253798174</v>
      </c>
      <c r="K8" s="1">
        <v>0.01</v>
      </c>
      <c r="L8" s="10">
        <v>3.1955318349879002E-3</v>
      </c>
      <c r="M8" s="11">
        <v>3.1700000000000001E-3</v>
      </c>
      <c r="N8" s="12">
        <f>((L8-M8)/M8)*100</f>
        <v>0.80542066207886687</v>
      </c>
    </row>
    <row r="9" spans="1:14" x14ac:dyDescent="0.3">
      <c r="A9" s="1">
        <v>0.1</v>
      </c>
      <c r="B9" s="10">
        <v>6.4666327092130996E-3</v>
      </c>
      <c r="C9" s="11">
        <v>6.4270000000000004E-3</v>
      </c>
      <c r="D9" s="12">
        <f>((B9-C9)/C9)*100</f>
        <v>0.61665954898240571</v>
      </c>
      <c r="F9" s="1">
        <v>0.1</v>
      </c>
      <c r="G9" s="10">
        <v>1.22370037261481E-2</v>
      </c>
      <c r="H9" s="11">
        <v>1.2239999999999999E-2</v>
      </c>
      <c r="I9" s="12">
        <f t="shared" si="0"/>
        <v>-2.4479361535125751E-2</v>
      </c>
      <c r="K9" s="1">
        <v>0.1</v>
      </c>
      <c r="L9" s="10">
        <v>1.5131640319310699E-2</v>
      </c>
      <c r="M9" s="11">
        <v>1.5140000000000001E-2</v>
      </c>
      <c r="N9" s="12">
        <f t="shared" ref="N9:N10" si="1">((L9-M9)/M9)*100</f>
        <v>-5.5215856600404546E-2</v>
      </c>
    </row>
    <row r="10" spans="1:14" x14ac:dyDescent="0.3">
      <c r="A10" s="1">
        <v>1</v>
      </c>
      <c r="B10" s="10">
        <v>5.8332812357237002E-3</v>
      </c>
      <c r="C10" s="11">
        <v>5.9049999999999997E-3</v>
      </c>
      <c r="D10" s="12">
        <f>((B10-C10)/C10)*100</f>
        <v>-1.2145430021388568</v>
      </c>
      <c r="F10" s="1">
        <v>1</v>
      </c>
      <c r="G10" s="10">
        <v>9.7044632833146998E-3</v>
      </c>
      <c r="H10" s="11">
        <v>9.7079999999999996E-3</v>
      </c>
      <c r="I10" s="12">
        <f t="shared" si="0"/>
        <v>-3.6430950610834491E-2</v>
      </c>
      <c r="K10" s="1">
        <v>1</v>
      </c>
      <c r="L10" s="10">
        <v>1.1726599926934001E-2</v>
      </c>
      <c r="M10" s="11">
        <v>1.175E-2</v>
      </c>
      <c r="N10" s="12">
        <f t="shared" si="1"/>
        <v>-0.1991495580085042</v>
      </c>
    </row>
    <row r="11" spans="1:14" x14ac:dyDescent="0.3">
      <c r="A11" s="1">
        <v>10</v>
      </c>
      <c r="B11" s="10">
        <v>3.525409833135E-3</v>
      </c>
      <c r="C11" s="11">
        <v>3.6089999999999998E-3</v>
      </c>
      <c r="D11" s="12">
        <f>((B11-C11)/C11)*100</f>
        <v>-2.316158682876138</v>
      </c>
      <c r="F11" s="1">
        <v>10</v>
      </c>
      <c r="G11" s="10">
        <v>5.4900523799021996E-3</v>
      </c>
      <c r="H11" s="11">
        <v>5.5129999999999997E-3</v>
      </c>
      <c r="I11" s="12">
        <f>((G11-H11)/H11)*100</f>
        <v>-0.41624560307999442</v>
      </c>
      <c r="K11" s="1">
        <v>10</v>
      </c>
      <c r="L11" s="10">
        <v>6.3738672863258997E-3</v>
      </c>
      <c r="M11" s="11">
        <v>6.4120000000000002E-3</v>
      </c>
      <c r="N11" s="12">
        <f>((L11-M11)/M11)*100</f>
        <v>-0.59470857258422438</v>
      </c>
    </row>
    <row r="12" spans="1:14" x14ac:dyDescent="0.3">
      <c r="B12" s="10"/>
      <c r="C12" s="10"/>
      <c r="D12" s="12"/>
      <c r="G12" s="10"/>
      <c r="H12" s="10"/>
      <c r="I12" s="12"/>
      <c r="L12" s="10"/>
      <c r="M12" s="10"/>
      <c r="N12" s="12"/>
    </row>
    <row r="13" spans="1:14" x14ac:dyDescent="0.3">
      <c r="A13" s="2" t="s">
        <v>2</v>
      </c>
      <c r="B13" s="10"/>
      <c r="C13" s="10"/>
      <c r="D13" s="12"/>
      <c r="F13" s="2" t="s">
        <v>2</v>
      </c>
      <c r="G13" s="10"/>
      <c r="H13" s="10"/>
      <c r="I13" s="12"/>
      <c r="K13" s="2" t="s">
        <v>2</v>
      </c>
      <c r="L13" s="10"/>
      <c r="M13" s="10"/>
      <c r="N13" s="12"/>
    </row>
    <row r="14" spans="1:14" x14ac:dyDescent="0.3">
      <c r="A14" s="2" t="s">
        <v>8</v>
      </c>
      <c r="B14" s="10"/>
      <c r="C14" s="10"/>
      <c r="D14" s="12"/>
      <c r="F14" s="2" t="s">
        <v>9</v>
      </c>
      <c r="G14" s="10"/>
      <c r="H14" s="10"/>
      <c r="I14" s="12"/>
      <c r="K14" s="2" t="s">
        <v>10</v>
      </c>
      <c r="L14" s="10"/>
      <c r="M14" s="10"/>
      <c r="N14" s="12"/>
    </row>
    <row r="15" spans="1:14" x14ac:dyDescent="0.3">
      <c r="A15" s="1" t="s">
        <v>0</v>
      </c>
      <c r="B15" s="10" t="s">
        <v>4</v>
      </c>
      <c r="C15" s="10" t="s">
        <v>15</v>
      </c>
      <c r="D15" s="12" t="s">
        <v>5</v>
      </c>
      <c r="F15" s="1" t="s">
        <v>0</v>
      </c>
      <c r="G15" s="10" t="s">
        <v>4</v>
      </c>
      <c r="H15" s="10" t="s">
        <v>15</v>
      </c>
      <c r="I15" s="12" t="s">
        <v>5</v>
      </c>
      <c r="K15" s="1" t="s">
        <v>0</v>
      </c>
      <c r="L15" s="10" t="s">
        <v>4</v>
      </c>
      <c r="M15" s="10" t="s">
        <v>15</v>
      </c>
      <c r="N15" s="12" t="s">
        <v>5</v>
      </c>
    </row>
    <row r="16" spans="1:14" x14ac:dyDescent="0.3">
      <c r="A16" s="1">
        <v>0.01</v>
      </c>
      <c r="B16" s="10">
        <v>2.9128450235686501E-7</v>
      </c>
      <c r="C16" s="11">
        <v>3.0820000000000002E-7</v>
      </c>
      <c r="D16" s="12">
        <f>((B16-C16)/C16)*100</f>
        <v>-5.4884807407965637</v>
      </c>
      <c r="F16" s="1">
        <v>0.01</v>
      </c>
      <c r="G16" s="10">
        <v>0</v>
      </c>
      <c r="H16" s="11">
        <v>0</v>
      </c>
      <c r="I16" s="12">
        <f>IFERROR((((G16-H16)/H16)*100), 0)</f>
        <v>0</v>
      </c>
      <c r="K16" s="1">
        <v>0.01</v>
      </c>
      <c r="L16" s="10">
        <v>3.0640746825640898E-5</v>
      </c>
      <c r="M16" s="11">
        <v>3.0130000000000001E-5</v>
      </c>
      <c r="N16" s="12">
        <f t="shared" ref="N16:N18" si="2">((L16-M16)/M16)*100</f>
        <v>1.6951437956883413</v>
      </c>
    </row>
    <row r="17" spans="1:14" x14ac:dyDescent="0.3">
      <c r="A17" s="1">
        <v>0.1</v>
      </c>
      <c r="B17" s="10">
        <v>3.2905121218036E-3</v>
      </c>
      <c r="C17" s="11">
        <v>3.2729999999999999E-3</v>
      </c>
      <c r="D17" s="12">
        <f>((B17-C17)/C17)*100</f>
        <v>0.53504802333028112</v>
      </c>
      <c r="F17" s="1">
        <v>0.1</v>
      </c>
      <c r="G17" s="10">
        <v>8.2306218990838302E-5</v>
      </c>
      <c r="H17" s="11">
        <v>8.1409999999999995E-5</v>
      </c>
      <c r="I17" s="12">
        <f t="shared" ref="I17:I18" si="3">((G17-H17)/H17)*100</f>
        <v>1.1008708891270205</v>
      </c>
      <c r="K17" s="1">
        <v>0.1</v>
      </c>
      <c r="L17" s="10">
        <v>2.0536807159182002E-3</v>
      </c>
      <c r="M17" s="11">
        <v>2.0739999999999999E-3</v>
      </c>
      <c r="N17" s="12">
        <f t="shared" si="2"/>
        <v>-0.97971475804241714</v>
      </c>
    </row>
    <row r="18" spans="1:14" x14ac:dyDescent="0.3">
      <c r="A18" s="1">
        <v>1</v>
      </c>
      <c r="B18" s="10">
        <v>2.2415973330099002E-3</v>
      </c>
      <c r="C18" s="11">
        <v>2.2750000000000001E-3</v>
      </c>
      <c r="D18" s="12">
        <f>((B18-C18)/C18)*100</f>
        <v>-1.468249098465932</v>
      </c>
      <c r="F18" s="1">
        <v>1</v>
      </c>
      <c r="G18" s="10">
        <v>3.012746339927E-4</v>
      </c>
      <c r="H18" s="11">
        <v>3.054E-4</v>
      </c>
      <c r="I18" s="12">
        <f t="shared" si="3"/>
        <v>-1.3508074680091664</v>
      </c>
      <c r="K18" s="1">
        <v>1</v>
      </c>
      <c r="L18" s="10">
        <v>2.0172463310244998E-3</v>
      </c>
      <c r="M18" s="11">
        <v>2.016E-3</v>
      </c>
      <c r="N18" s="12">
        <f t="shared" si="2"/>
        <v>6.1821975421616958E-2</v>
      </c>
    </row>
    <row r="19" spans="1:14" x14ac:dyDescent="0.3">
      <c r="A19" s="1">
        <v>10</v>
      </c>
      <c r="B19" s="10">
        <v>1.4301637256376001E-3</v>
      </c>
      <c r="C19" s="11">
        <v>1.464E-3</v>
      </c>
      <c r="D19" s="12">
        <f>((B19-C19)/C19)*100</f>
        <v>-2.3112209263934402</v>
      </c>
      <c r="F19" s="1">
        <v>10</v>
      </c>
      <c r="G19" s="10">
        <v>3.7509955178870001E-4</v>
      </c>
      <c r="H19" s="11">
        <v>3.7599999999999998E-4</v>
      </c>
      <c r="I19" s="12">
        <f>((G19-H19)/H19)*100</f>
        <v>-0.23948090726062907</v>
      </c>
      <c r="K19" s="1">
        <v>10</v>
      </c>
      <c r="L19" s="10">
        <v>1.3475553635732E-3</v>
      </c>
      <c r="M19" s="11">
        <v>1.351E-3</v>
      </c>
      <c r="N19" s="12">
        <f>((L19-M19)/M19)*100</f>
        <v>-0.25496938762397842</v>
      </c>
    </row>
    <row r="20" spans="1:14" x14ac:dyDescent="0.3">
      <c r="B20" s="10"/>
      <c r="C20" s="10"/>
      <c r="D20" s="12"/>
      <c r="G20" s="10"/>
      <c r="H20" s="10"/>
      <c r="I20" s="12"/>
      <c r="L20" s="10"/>
      <c r="M20" s="10"/>
      <c r="N20" s="12"/>
    </row>
    <row r="21" spans="1:14" x14ac:dyDescent="0.3">
      <c r="A21" s="2" t="s">
        <v>11</v>
      </c>
      <c r="B21" s="10"/>
      <c r="C21" s="10"/>
      <c r="D21" s="12"/>
      <c r="F21" s="2" t="s">
        <v>11</v>
      </c>
      <c r="G21" s="10"/>
      <c r="H21" s="10"/>
      <c r="I21" s="12"/>
      <c r="K21" s="2" t="s">
        <v>11</v>
      </c>
      <c r="L21" s="10"/>
      <c r="M21" s="10"/>
      <c r="N21" s="12"/>
    </row>
    <row r="22" spans="1:14" x14ac:dyDescent="0.3">
      <c r="A22" s="2" t="s">
        <v>3</v>
      </c>
      <c r="B22" s="10"/>
      <c r="C22" s="10"/>
      <c r="D22" s="12"/>
      <c r="F22" s="2" t="s">
        <v>6</v>
      </c>
      <c r="G22" s="10"/>
      <c r="H22" s="10"/>
      <c r="I22" s="12"/>
      <c r="K22" s="2" t="s">
        <v>7</v>
      </c>
      <c r="L22" s="10"/>
      <c r="M22" s="10"/>
      <c r="N22" s="12"/>
    </row>
    <row r="23" spans="1:14" x14ac:dyDescent="0.3">
      <c r="A23" s="1" t="s">
        <v>0</v>
      </c>
      <c r="B23" s="10" t="s">
        <v>4</v>
      </c>
      <c r="C23" s="10" t="s">
        <v>15</v>
      </c>
      <c r="D23" s="12" t="s">
        <v>5</v>
      </c>
      <c r="F23" s="1" t="s">
        <v>0</v>
      </c>
      <c r="G23" s="10" t="s">
        <v>4</v>
      </c>
      <c r="H23" s="10" t="s">
        <v>15</v>
      </c>
      <c r="I23" s="12" t="s">
        <v>5</v>
      </c>
      <c r="K23" s="1" t="s">
        <v>0</v>
      </c>
      <c r="L23" s="10" t="s">
        <v>4</v>
      </c>
      <c r="M23" s="10" t="s">
        <v>15</v>
      </c>
      <c r="N23" s="12" t="s">
        <v>5</v>
      </c>
    </row>
    <row r="24" spans="1:14" x14ac:dyDescent="0.3">
      <c r="A24" s="1">
        <v>0.01</v>
      </c>
      <c r="B24" s="10">
        <v>2.7814538498098599E-5</v>
      </c>
      <c r="C24" s="14">
        <v>3.0349999999999999E-5</v>
      </c>
      <c r="D24" s="12">
        <f>((B24-C24)/C24)*100</f>
        <v>-8.35407414135552</v>
      </c>
      <c r="F24" s="1">
        <v>0.01</v>
      </c>
      <c r="G24" s="10">
        <v>1.472473556929E-4</v>
      </c>
      <c r="H24" s="14">
        <v>1.4569999999999999E-4</v>
      </c>
      <c r="I24" s="12">
        <f t="shared" ref="I24:I26" si="4">((G24-H24)/H24)*100</f>
        <v>1.0620148887440015</v>
      </c>
      <c r="K24" s="1">
        <v>0.01</v>
      </c>
      <c r="L24" s="10">
        <v>3.9619855973331E-3</v>
      </c>
      <c r="M24" s="14">
        <v>3.9280000000000001E-3</v>
      </c>
      <c r="N24" s="12">
        <f t="shared" ref="N24:N26" si="5">((L24-M24)/M24)*100</f>
        <v>0.865213781392564</v>
      </c>
    </row>
    <row r="25" spans="1:14" x14ac:dyDescent="0.3">
      <c r="A25" s="1">
        <v>0.1</v>
      </c>
      <c r="B25" s="10">
        <v>8.4616244395612009E-3</v>
      </c>
      <c r="C25" s="14">
        <v>8.4150000000000006E-3</v>
      </c>
      <c r="D25" s="12">
        <f>((B25-C25)/C25)*100</f>
        <v>0.55406345289602199</v>
      </c>
      <c r="F25" s="1">
        <v>0.1</v>
      </c>
      <c r="G25" s="10">
        <v>4.3946306367627997E-3</v>
      </c>
      <c r="H25" s="14">
        <v>4.4640000000000001E-3</v>
      </c>
      <c r="I25" s="12">
        <f t="shared" si="4"/>
        <v>-1.5539731907975003</v>
      </c>
      <c r="K25" s="1">
        <v>0.1</v>
      </c>
      <c r="L25" s="10">
        <v>1.6543527315983901E-2</v>
      </c>
      <c r="M25" s="14">
        <v>1.6549999999999999E-2</v>
      </c>
      <c r="N25" s="12">
        <f t="shared" si="5"/>
        <v>-3.9109873209049295E-2</v>
      </c>
    </row>
    <row r="26" spans="1:14" x14ac:dyDescent="0.3">
      <c r="A26" s="1">
        <v>1</v>
      </c>
      <c r="B26" s="10">
        <v>7.6412068026594001E-3</v>
      </c>
      <c r="C26" s="14">
        <v>7.7460000000000003E-3</v>
      </c>
      <c r="D26" s="12">
        <f>((B26-C26)/C26)*100</f>
        <v>-1.3528685429976786</v>
      </c>
      <c r="F26" s="1">
        <v>1</v>
      </c>
      <c r="G26" s="10">
        <v>4.2781349576272E-3</v>
      </c>
      <c r="H26" s="14">
        <v>4.261E-3</v>
      </c>
      <c r="I26" s="12">
        <f t="shared" si="4"/>
        <v>0.40213465447547536</v>
      </c>
      <c r="K26" s="1">
        <v>1</v>
      </c>
      <c r="L26" s="10">
        <v>1.3051074979061E-2</v>
      </c>
      <c r="M26" s="14">
        <v>1.3100000000000001E-2</v>
      </c>
      <c r="N26" s="12">
        <f t="shared" si="5"/>
        <v>-0.37347344228244689</v>
      </c>
    </row>
    <row r="27" spans="1:14" x14ac:dyDescent="0.3">
      <c r="A27" s="1">
        <v>10</v>
      </c>
      <c r="B27" s="10">
        <v>4.5377813766396E-3</v>
      </c>
      <c r="C27" s="14">
        <v>4.6509999999999998E-3</v>
      </c>
      <c r="D27" s="12">
        <f>((B27-C27)/C27)*100</f>
        <v>-2.4342856022446737</v>
      </c>
      <c r="F27" s="1">
        <v>10</v>
      </c>
      <c r="G27" s="10">
        <v>2.7905703573008001E-3</v>
      </c>
      <c r="H27" s="14">
        <v>2.797E-3</v>
      </c>
      <c r="I27" s="12">
        <f>((G27-H27)/H27)*100</f>
        <v>-0.22987639253485592</v>
      </c>
      <c r="K27" s="1">
        <v>10</v>
      </c>
      <c r="L27" s="10">
        <v>7.0511911871362996E-3</v>
      </c>
      <c r="M27" s="14">
        <v>7.0920000000000002E-3</v>
      </c>
      <c r="N27" s="12">
        <f>((L27-M27)/M27)*100</f>
        <v>-0.57542037314862726</v>
      </c>
    </row>
    <row r="28" spans="1:14" x14ac:dyDescent="0.3">
      <c r="B28" s="10"/>
      <c r="C28" s="10"/>
      <c r="D28" s="12"/>
      <c r="G28" s="10"/>
      <c r="H28" s="10"/>
      <c r="I28" s="12"/>
      <c r="L28" s="10"/>
      <c r="M28" s="10"/>
      <c r="N28" s="12"/>
    </row>
    <row r="29" spans="1:14" x14ac:dyDescent="0.3">
      <c r="A29" s="2" t="s">
        <v>11</v>
      </c>
      <c r="B29" s="10"/>
      <c r="C29" s="10"/>
      <c r="D29" s="12"/>
      <c r="F29" s="2" t="s">
        <v>11</v>
      </c>
      <c r="G29" s="10"/>
      <c r="H29" s="10"/>
      <c r="I29" s="12"/>
      <c r="K29" s="2" t="s">
        <v>11</v>
      </c>
      <c r="L29" s="10"/>
      <c r="M29" s="10"/>
      <c r="N29" s="12"/>
    </row>
    <row r="30" spans="1:14" x14ac:dyDescent="0.3">
      <c r="A30" s="2" t="s">
        <v>8</v>
      </c>
      <c r="B30" s="10"/>
      <c r="C30" s="10"/>
      <c r="D30" s="12"/>
      <c r="F30" s="2" t="s">
        <v>9</v>
      </c>
      <c r="G30" s="10"/>
      <c r="H30" s="10"/>
      <c r="I30" s="12"/>
      <c r="K30" s="2" t="s">
        <v>10</v>
      </c>
      <c r="L30" s="10"/>
      <c r="M30" s="10"/>
      <c r="N30" s="12"/>
    </row>
    <row r="31" spans="1:14" x14ac:dyDescent="0.3">
      <c r="A31" s="1" t="s">
        <v>0</v>
      </c>
      <c r="B31" s="10" t="s">
        <v>4</v>
      </c>
      <c r="C31" s="10" t="s">
        <v>15</v>
      </c>
      <c r="D31" s="12" t="s">
        <v>5</v>
      </c>
      <c r="F31" s="1" t="s">
        <v>0</v>
      </c>
      <c r="G31" s="10" t="s">
        <v>4</v>
      </c>
      <c r="H31" s="10" t="s">
        <v>15</v>
      </c>
      <c r="I31" s="12" t="s">
        <v>5</v>
      </c>
      <c r="K31" s="1" t="s">
        <v>0</v>
      </c>
      <c r="L31" s="10" t="s">
        <v>4</v>
      </c>
      <c r="M31" s="10" t="s">
        <v>15</v>
      </c>
      <c r="N31" s="12" t="s">
        <v>5</v>
      </c>
    </row>
    <row r="32" spans="1:14" x14ac:dyDescent="0.3">
      <c r="A32" s="1">
        <v>0.01</v>
      </c>
      <c r="B32" s="10">
        <v>9.2021645271622707E-6</v>
      </c>
      <c r="C32" s="14">
        <v>1.0210000000000001E-5</v>
      </c>
      <c r="D32" s="12">
        <f>((B32-C32)/C32)*100</f>
        <v>-9.8710624176075381</v>
      </c>
      <c r="F32" s="1">
        <v>0.01</v>
      </c>
      <c r="G32" s="10">
        <v>0</v>
      </c>
      <c r="H32" s="14">
        <v>0</v>
      </c>
      <c r="I32" s="12">
        <f>IFERROR((((G32-H32)/H32)*100), 0)</f>
        <v>0</v>
      </c>
      <c r="K32" s="1">
        <v>0.01</v>
      </c>
      <c r="L32" s="10">
        <v>7.5377314516415496E-5</v>
      </c>
      <c r="M32" s="14">
        <v>7.4469999999999997E-5</v>
      </c>
      <c r="N32" s="12">
        <f t="shared" ref="N32:N34" si="6">((L32-M32)/M32)*100</f>
        <v>1.2183624498663876</v>
      </c>
    </row>
    <row r="33" spans="1:14" x14ac:dyDescent="0.3">
      <c r="A33" s="1">
        <v>0.1</v>
      </c>
      <c r="B33" s="10">
        <v>4.3576067516188999E-3</v>
      </c>
      <c r="C33" s="14">
        <v>4.3569999999999998E-3</v>
      </c>
      <c r="D33" s="12">
        <f>((B33-C33)/C33)*100</f>
        <v>1.3925903578153523E-2</v>
      </c>
      <c r="F33" s="1">
        <v>0.1</v>
      </c>
      <c r="G33" s="10">
        <v>1.097520653893E-4</v>
      </c>
      <c r="H33" s="14">
        <v>1.0900000000000001E-4</v>
      </c>
      <c r="I33" s="12">
        <f t="shared" ref="I33:I34" si="7">((G33-H33)/H33)*100</f>
        <v>0.68996824706421556</v>
      </c>
      <c r="K33" s="1">
        <v>0.1</v>
      </c>
      <c r="L33" s="10">
        <v>2.2442447109375999E-3</v>
      </c>
      <c r="M33" s="14">
        <v>2.2720000000000001E-3</v>
      </c>
      <c r="N33" s="12">
        <f t="shared" si="6"/>
        <v>-1.2216236383098715</v>
      </c>
    </row>
    <row r="34" spans="1:14" x14ac:dyDescent="0.3">
      <c r="A34" s="1">
        <v>1</v>
      </c>
      <c r="B34" s="10">
        <v>2.9836726761977E-3</v>
      </c>
      <c r="C34" s="14">
        <v>3.0439999999999998E-3</v>
      </c>
      <c r="D34" s="12">
        <f>((B34-C34)/C34)*100</f>
        <v>-1.9818437517181291</v>
      </c>
      <c r="F34" s="1">
        <v>1</v>
      </c>
      <c r="G34" s="10">
        <v>3.7570414823559999E-4</v>
      </c>
      <c r="H34" s="14">
        <v>3.7800000000000003E-4</v>
      </c>
      <c r="I34" s="12">
        <f t="shared" si="7"/>
        <v>-0.60736819164022138</v>
      </c>
      <c r="K34" s="1">
        <v>1</v>
      </c>
      <c r="L34" s="10">
        <v>2.2108796687601998E-3</v>
      </c>
      <c r="M34" s="14">
        <v>2.2109999999999999E-3</v>
      </c>
      <c r="N34" s="12">
        <f t="shared" si="6"/>
        <v>-5.4423898597949581E-3</v>
      </c>
    </row>
    <row r="35" spans="1:14" x14ac:dyDescent="0.3">
      <c r="A35" s="1">
        <v>10</v>
      </c>
      <c r="B35" s="10">
        <v>1.8640677402742001E-3</v>
      </c>
      <c r="C35" s="14">
        <v>1.916E-3</v>
      </c>
      <c r="D35" s="12">
        <f>((B35-C35)/C35)*100</f>
        <v>-2.7104519689874671</v>
      </c>
      <c r="F35" s="1">
        <v>10</v>
      </c>
      <c r="G35" s="10">
        <v>4.4010351295630001E-4</v>
      </c>
      <c r="H35" s="14">
        <v>4.417E-4</v>
      </c>
      <c r="I35" s="12">
        <f>((G35-H35)/H35)*100</f>
        <v>-0.36144148600860243</v>
      </c>
      <c r="K35" s="1">
        <v>10</v>
      </c>
      <c r="L35" s="10">
        <v>1.4551181908267999E-3</v>
      </c>
      <c r="M35" s="14">
        <v>1.4599999999999999E-3</v>
      </c>
      <c r="N35" s="12">
        <f>((L35-M35)/M35)*100</f>
        <v>-0.33437049131506841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66647-4D27-4AD0-8844-E1785AF5AA93}">
  <dimension ref="A1:N39"/>
  <sheetViews>
    <sheetView zoomScale="63" workbookViewId="0"/>
  </sheetViews>
  <sheetFormatPr defaultRowHeight="14.4" x14ac:dyDescent="0.3"/>
  <cols>
    <col min="1" max="1" width="27" bestFit="1" customWidth="1"/>
    <col min="3" max="3" width="10.88671875" bestFit="1" customWidth="1"/>
    <col min="5" max="5" width="8.88671875" customWidth="1"/>
    <col min="6" max="6" width="19" bestFit="1" customWidth="1"/>
    <col min="8" max="8" width="10.88671875" bestFit="1" customWidth="1"/>
    <col min="11" max="11" width="19" bestFit="1" customWidth="1"/>
    <col min="13" max="13" width="10.88671875" bestFit="1" customWidth="1"/>
  </cols>
  <sheetData>
    <row r="1" spans="1:14" x14ac:dyDescent="0.3">
      <c r="A1" s="1" t="s">
        <v>17</v>
      </c>
      <c r="B1" s="1"/>
      <c r="C1" s="1"/>
      <c r="D1" s="1"/>
    </row>
    <row r="2" spans="1:14" s="6" customFormat="1" x14ac:dyDescent="0.3">
      <c r="A2" s="2" t="s">
        <v>16</v>
      </c>
      <c r="B2" s="2"/>
      <c r="C2" s="2"/>
      <c r="D2" s="2"/>
    </row>
    <row r="3" spans="1:14" x14ac:dyDescent="0.3">
      <c r="A3" s="1"/>
      <c r="B3" s="1"/>
      <c r="C3" s="1"/>
      <c r="D3" s="1"/>
    </row>
    <row r="4" spans="1:14" x14ac:dyDescent="0.3">
      <c r="A4" s="2" t="s">
        <v>13</v>
      </c>
      <c r="B4" s="1"/>
      <c r="C4" s="1"/>
      <c r="D4" s="1"/>
    </row>
    <row r="5" spans="1:14" x14ac:dyDescent="0.3">
      <c r="A5" s="2" t="s">
        <v>2</v>
      </c>
      <c r="B5" s="1"/>
      <c r="C5" s="1"/>
      <c r="D5" s="1"/>
      <c r="F5" s="2" t="s">
        <v>2</v>
      </c>
      <c r="G5" s="1"/>
      <c r="H5" s="1"/>
      <c r="I5" s="1"/>
      <c r="K5" s="2" t="s">
        <v>2</v>
      </c>
      <c r="L5" s="1"/>
      <c r="M5" s="1"/>
      <c r="N5" s="1"/>
    </row>
    <row r="6" spans="1:14" x14ac:dyDescent="0.3">
      <c r="A6" s="2" t="s">
        <v>3</v>
      </c>
      <c r="B6" s="1"/>
      <c r="C6" s="1"/>
      <c r="D6" s="1"/>
      <c r="F6" s="2" t="s">
        <v>6</v>
      </c>
      <c r="G6" s="1"/>
      <c r="H6" s="1"/>
      <c r="I6" s="1"/>
      <c r="K6" s="2" t="s">
        <v>7</v>
      </c>
      <c r="L6" s="1"/>
      <c r="M6" s="1"/>
      <c r="N6" s="1"/>
    </row>
    <row r="7" spans="1:14" x14ac:dyDescent="0.3">
      <c r="A7" s="1" t="s">
        <v>0</v>
      </c>
      <c r="B7" s="1" t="s">
        <v>4</v>
      </c>
      <c r="C7" s="4" t="s">
        <v>15</v>
      </c>
      <c r="D7" s="2" t="s">
        <v>5</v>
      </c>
      <c r="F7" s="1" t="s">
        <v>0</v>
      </c>
      <c r="G7" s="1" t="s">
        <v>4</v>
      </c>
      <c r="H7" s="4" t="s">
        <v>15</v>
      </c>
      <c r="I7" s="2" t="s">
        <v>5</v>
      </c>
      <c r="K7" s="1" t="s">
        <v>0</v>
      </c>
      <c r="L7" s="1" t="s">
        <v>4</v>
      </c>
      <c r="M7" s="4" t="s">
        <v>15</v>
      </c>
      <c r="N7" s="2" t="s">
        <v>5</v>
      </c>
    </row>
    <row r="8" spans="1:14" x14ac:dyDescent="0.3">
      <c r="A8" s="1">
        <v>0.01</v>
      </c>
      <c r="B8" s="5">
        <v>1.5974770868216401E-5</v>
      </c>
      <c r="C8" s="7">
        <v>1.717E-5</v>
      </c>
      <c r="D8" s="2">
        <f t="shared" ref="D8:D10" si="0">((B8-C8)/C8)*100</f>
        <v>-6.9611481175515397</v>
      </c>
      <c r="F8" s="1">
        <v>0.01</v>
      </c>
      <c r="G8" s="5">
        <v>1.21696787871171E-8</v>
      </c>
      <c r="H8" s="7">
        <v>0</v>
      </c>
      <c r="I8" s="2">
        <f>IFERROR((((G8-H8)/H8)*100), 0)</f>
        <v>0</v>
      </c>
      <c r="K8" s="1">
        <v>0.01</v>
      </c>
      <c r="L8" s="5">
        <v>0.77367325498495598</v>
      </c>
      <c r="M8" s="9">
        <v>0.78748099999999999</v>
      </c>
      <c r="N8" s="2">
        <f t="shared" ref="N8:N10" si="1">((L8-M8)/M8)*100</f>
        <v>-1.7534067507716382</v>
      </c>
    </row>
    <row r="9" spans="1:14" x14ac:dyDescent="0.3">
      <c r="A9" s="1">
        <v>0.1</v>
      </c>
      <c r="B9" s="5">
        <v>9.5973394095708996E-3</v>
      </c>
      <c r="C9" s="7">
        <v>9.5320000000000005E-3</v>
      </c>
      <c r="D9" s="2">
        <f t="shared" si="0"/>
        <v>0.68547429260280202</v>
      </c>
      <c r="F9" s="1">
        <v>0.1</v>
      </c>
      <c r="G9" s="5">
        <v>2.2530022940572001E-3</v>
      </c>
      <c r="H9" s="7">
        <v>2.2550000000000001E-3</v>
      </c>
      <c r="I9" s="2">
        <f t="shared" ref="I9:I10" si="2">((G9-H9)/H9)*100</f>
        <v>-8.8590063982261033E-2</v>
      </c>
      <c r="K9" s="1">
        <v>0.1</v>
      </c>
      <c r="L9" s="5">
        <v>6.0174584422497401E-2</v>
      </c>
      <c r="M9" s="9">
        <v>6.0026200000000002E-2</v>
      </c>
      <c r="N9" s="2">
        <f t="shared" si="1"/>
        <v>0.24719942707917469</v>
      </c>
    </row>
    <row r="10" spans="1:14" x14ac:dyDescent="0.3">
      <c r="A10" s="1">
        <v>1</v>
      </c>
      <c r="B10" s="5">
        <v>8.3603646933873999E-3</v>
      </c>
      <c r="C10" s="7">
        <v>8.4930000000000005E-3</v>
      </c>
      <c r="D10" s="2">
        <f t="shared" si="0"/>
        <v>-1.5617014790133124</v>
      </c>
      <c r="F10" s="1">
        <v>1</v>
      </c>
      <c r="G10" s="5">
        <v>2.3175374075419001E-3</v>
      </c>
      <c r="H10" s="7">
        <v>2.3180000000000002E-3</v>
      </c>
      <c r="I10" s="2">
        <f t="shared" si="2"/>
        <v>-1.9956533999139735E-2</v>
      </c>
      <c r="K10" s="1">
        <v>1</v>
      </c>
      <c r="L10" s="5">
        <v>5.1209527352274499E-2</v>
      </c>
      <c r="M10" s="9">
        <v>5.1083000000000003E-2</v>
      </c>
      <c r="N10" s="2">
        <f t="shared" si="1"/>
        <v>0.24768974467923882</v>
      </c>
    </row>
    <row r="11" spans="1:14" x14ac:dyDescent="0.3">
      <c r="A11" s="1">
        <v>10</v>
      </c>
      <c r="B11" s="5">
        <v>4.6876140730215997E-3</v>
      </c>
      <c r="C11" s="7">
        <v>4.8110000000000002E-3</v>
      </c>
      <c r="D11" s="2">
        <f>((B11-C11)/C11)*100</f>
        <v>-2.5646627931490427</v>
      </c>
      <c r="F11" s="1">
        <v>10</v>
      </c>
      <c r="G11" s="5">
        <v>1.6011277629531999E-3</v>
      </c>
      <c r="H11" s="7">
        <v>1.6069999999999999E-3</v>
      </c>
      <c r="I11" s="2">
        <f>((G11-H11)/H11)*100</f>
        <v>-0.36541611990043704</v>
      </c>
      <c r="K11" s="1">
        <v>10</v>
      </c>
      <c r="L11" s="5">
        <v>1.41685794448979E-2</v>
      </c>
      <c r="M11" s="9">
        <v>1.4088399999999999E-2</v>
      </c>
      <c r="N11" s="2">
        <f>((L11-M11)/M11)*100</f>
        <v>0.5691167549040429</v>
      </c>
    </row>
    <row r="12" spans="1:14" x14ac:dyDescent="0.3">
      <c r="B12" s="1"/>
      <c r="C12" s="1"/>
      <c r="D12" s="2"/>
      <c r="H12" s="1"/>
      <c r="I12" s="6"/>
      <c r="M12" s="1"/>
      <c r="N12" s="6"/>
    </row>
    <row r="13" spans="1:14" x14ac:dyDescent="0.3">
      <c r="A13" s="2" t="s">
        <v>2</v>
      </c>
      <c r="B13" s="1"/>
      <c r="C13" s="1"/>
      <c r="D13" s="2"/>
      <c r="F13" s="2" t="s">
        <v>2</v>
      </c>
      <c r="G13" s="1"/>
      <c r="H13" s="1"/>
      <c r="I13" s="2"/>
      <c r="K13" s="2" t="s">
        <v>2</v>
      </c>
      <c r="L13" s="1"/>
      <c r="M13" s="1"/>
      <c r="N13" s="2"/>
    </row>
    <row r="14" spans="1:14" x14ac:dyDescent="0.3">
      <c r="A14" s="2" t="s">
        <v>8</v>
      </c>
      <c r="B14" s="1"/>
      <c r="C14" s="1"/>
      <c r="D14" s="2"/>
      <c r="F14" s="2" t="s">
        <v>9</v>
      </c>
      <c r="G14" s="1"/>
      <c r="H14" s="1"/>
      <c r="I14" s="2"/>
      <c r="K14" s="2" t="s">
        <v>10</v>
      </c>
      <c r="L14" s="1"/>
      <c r="M14" s="1"/>
      <c r="N14" s="2"/>
    </row>
    <row r="15" spans="1:14" x14ac:dyDescent="0.3">
      <c r="A15" s="1" t="s">
        <v>0</v>
      </c>
      <c r="B15" s="1" t="s">
        <v>4</v>
      </c>
      <c r="C15" s="4" t="s">
        <v>15</v>
      </c>
      <c r="D15" s="2" t="s">
        <v>5</v>
      </c>
      <c r="F15" s="1" t="s">
        <v>0</v>
      </c>
      <c r="G15" s="1" t="s">
        <v>4</v>
      </c>
      <c r="H15" s="4" t="s">
        <v>15</v>
      </c>
      <c r="I15" s="2" t="s">
        <v>5</v>
      </c>
      <c r="K15" s="1" t="s">
        <v>0</v>
      </c>
      <c r="L15" s="1" t="s">
        <v>4</v>
      </c>
      <c r="M15" s="4" t="s">
        <v>15</v>
      </c>
      <c r="N15" s="2" t="s">
        <v>5</v>
      </c>
    </row>
    <row r="16" spans="1:14" x14ac:dyDescent="0.3">
      <c r="A16" s="1">
        <v>0.01</v>
      </c>
      <c r="B16" s="5">
        <v>5.01147675760414E-6</v>
      </c>
      <c r="C16" s="7">
        <v>5.3229999999999997E-6</v>
      </c>
      <c r="D16" s="2">
        <f t="shared" ref="D16:D18" si="3">((B16-C16)/C16)*100</f>
        <v>-5.852399819572792</v>
      </c>
      <c r="F16" s="1">
        <v>0.01</v>
      </c>
      <c r="G16" s="5">
        <v>0</v>
      </c>
      <c r="H16" s="7">
        <v>0</v>
      </c>
      <c r="I16" s="2">
        <f>IFERROR((((G16-H16)/H16)*100), 0)</f>
        <v>0</v>
      </c>
      <c r="K16" s="1">
        <v>0.01</v>
      </c>
      <c r="L16" s="5">
        <v>1.407921662896E-4</v>
      </c>
      <c r="M16" s="7">
        <v>1.4129999999999999E-4</v>
      </c>
      <c r="N16" s="2">
        <f t="shared" ref="N16:N18" si="4">((L16-M16)/M16)*100</f>
        <v>-0.35940106893134666</v>
      </c>
    </row>
    <row r="17" spans="1:14" x14ac:dyDescent="0.3">
      <c r="A17" s="1">
        <v>0.1</v>
      </c>
      <c r="B17" s="5">
        <v>4.8638990562449996E-3</v>
      </c>
      <c r="C17" s="7">
        <v>4.8430000000000001E-3</v>
      </c>
      <c r="D17" s="2">
        <f t="shared" si="3"/>
        <v>0.43153120472846473</v>
      </c>
      <c r="F17" s="1">
        <v>0.1</v>
      </c>
      <c r="G17" s="5">
        <v>3.7525574829969999E-4</v>
      </c>
      <c r="H17" s="7">
        <v>3.7090000000000002E-4</v>
      </c>
      <c r="I17" s="2">
        <f t="shared" ref="I17:I18" si="5">((G17-H17)/H17)*100</f>
        <v>1.174372687975189</v>
      </c>
      <c r="K17" s="1">
        <v>0.1</v>
      </c>
      <c r="L17" s="5">
        <v>3.3444843075435002E-3</v>
      </c>
      <c r="M17" s="7">
        <v>3.356E-3</v>
      </c>
      <c r="N17" s="2">
        <f t="shared" si="4"/>
        <v>-0.34313743910905331</v>
      </c>
    </row>
    <row r="18" spans="1:14" x14ac:dyDescent="0.3">
      <c r="A18" s="1">
        <v>1</v>
      </c>
      <c r="B18" s="5">
        <v>3.1933377997381998E-3</v>
      </c>
      <c r="C18" s="7">
        <v>3.2560000000000002E-3</v>
      </c>
      <c r="D18" s="2">
        <f t="shared" si="3"/>
        <v>-1.9245147500552955</v>
      </c>
      <c r="F18" s="1">
        <v>1</v>
      </c>
      <c r="G18" s="5">
        <v>8.4054896970870005E-4</v>
      </c>
      <c r="H18" s="7">
        <v>8.4250000000000004E-4</v>
      </c>
      <c r="I18" s="2">
        <f t="shared" si="5"/>
        <v>-0.23157629570326349</v>
      </c>
      <c r="K18" s="1">
        <v>1</v>
      </c>
      <c r="L18" s="5">
        <v>3.0421536675903E-3</v>
      </c>
      <c r="M18" s="7">
        <v>3.0379999999999999E-3</v>
      </c>
      <c r="N18" s="2">
        <f t="shared" si="4"/>
        <v>0.13672375214944407</v>
      </c>
    </row>
    <row r="19" spans="1:14" x14ac:dyDescent="0.3">
      <c r="A19" s="1">
        <v>10</v>
      </c>
      <c r="B19" s="5">
        <v>1.8789649881817E-3</v>
      </c>
      <c r="C19" s="7">
        <v>1.928E-3</v>
      </c>
      <c r="D19" s="2">
        <f>((B19-C19)/C19)*100</f>
        <v>-2.5433097416130721</v>
      </c>
      <c r="F19" s="1">
        <v>10</v>
      </c>
      <c r="G19" s="5">
        <v>8.0352608425319995E-4</v>
      </c>
      <c r="H19" s="7">
        <v>8.0210000000000004E-4</v>
      </c>
      <c r="I19" s="2">
        <f>((G19-H19)/H19)*100</f>
        <v>0.17779382286496853</v>
      </c>
      <c r="K19" s="1">
        <v>10</v>
      </c>
      <c r="L19" s="5">
        <v>1.7584787682409001E-3</v>
      </c>
      <c r="M19" s="7">
        <v>1.7639999999999999E-3</v>
      </c>
      <c r="N19" s="2">
        <f>((L19-M19)/M19)*100</f>
        <v>-0.31299499768139705</v>
      </c>
    </row>
    <row r="20" spans="1:14" x14ac:dyDescent="0.3">
      <c r="D20" s="6"/>
      <c r="I20" s="6"/>
      <c r="N20" s="6"/>
    </row>
    <row r="21" spans="1:14" x14ac:dyDescent="0.3">
      <c r="A21" s="2" t="s">
        <v>11</v>
      </c>
      <c r="B21" s="1"/>
      <c r="C21" s="1"/>
      <c r="D21" s="2"/>
      <c r="F21" s="2" t="s">
        <v>11</v>
      </c>
      <c r="G21" s="1"/>
      <c r="H21" s="1"/>
      <c r="I21" s="2"/>
      <c r="K21" s="2" t="s">
        <v>11</v>
      </c>
      <c r="L21" s="1"/>
      <c r="M21" s="1"/>
      <c r="N21" s="2"/>
    </row>
    <row r="22" spans="1:14" x14ac:dyDescent="0.3">
      <c r="A22" s="2" t="s">
        <v>3</v>
      </c>
      <c r="B22" s="1"/>
      <c r="C22" s="1"/>
      <c r="D22" s="2"/>
      <c r="F22" s="2" t="s">
        <v>6</v>
      </c>
      <c r="G22" s="1"/>
      <c r="H22" s="1"/>
      <c r="I22" s="2"/>
      <c r="K22" s="2" t="s">
        <v>7</v>
      </c>
      <c r="L22" s="1"/>
      <c r="M22" s="1"/>
      <c r="N22" s="2"/>
    </row>
    <row r="23" spans="1:14" x14ac:dyDescent="0.3">
      <c r="A23" s="1" t="s">
        <v>0</v>
      </c>
      <c r="B23" s="1" t="s">
        <v>4</v>
      </c>
      <c r="C23" s="4" t="s">
        <v>15</v>
      </c>
      <c r="D23" s="2" t="s">
        <v>5</v>
      </c>
      <c r="F23" s="1" t="s">
        <v>0</v>
      </c>
      <c r="G23" s="1" t="s">
        <v>4</v>
      </c>
      <c r="H23" s="4" t="s">
        <v>15</v>
      </c>
      <c r="I23" s="2" t="s">
        <v>5</v>
      </c>
      <c r="K23" s="1" t="s">
        <v>0</v>
      </c>
      <c r="L23" s="1" t="s">
        <v>4</v>
      </c>
      <c r="M23" s="4" t="s">
        <v>15</v>
      </c>
      <c r="N23" s="2" t="s">
        <v>5</v>
      </c>
    </row>
    <row r="24" spans="1:14" x14ac:dyDescent="0.3">
      <c r="A24" s="1">
        <v>0.01</v>
      </c>
      <c r="B24" s="5">
        <v>2.0570466139330001E-4</v>
      </c>
      <c r="C24" s="3">
        <v>2.2660000000000001E-4</v>
      </c>
      <c r="D24" s="2">
        <f t="shared" ref="D24:D26" si="6">((B24-C24)/C24)*100</f>
        <v>-9.2212438687996432</v>
      </c>
      <c r="F24" s="1">
        <v>0.01</v>
      </c>
      <c r="G24" s="5">
        <v>0</v>
      </c>
      <c r="H24" s="3">
        <v>0</v>
      </c>
      <c r="I24" s="2">
        <f>IFERROR((((G24-H24)/H24)*100), 0)</f>
        <v>0</v>
      </c>
      <c r="K24" s="1">
        <v>0.01</v>
      </c>
      <c r="L24" s="5">
        <v>0.97133320234064902</v>
      </c>
      <c r="M24" s="3">
        <v>0.98913799999999996</v>
      </c>
      <c r="N24" s="2">
        <f t="shared" ref="N24:N26" si="7">((L24-M24)/M24)*100</f>
        <v>-1.8000317103731682</v>
      </c>
    </row>
    <row r="25" spans="1:14" x14ac:dyDescent="0.3">
      <c r="A25" s="1">
        <v>0.1</v>
      </c>
      <c r="B25" s="5">
        <v>1.20753621787296E-2</v>
      </c>
      <c r="C25" s="3">
        <v>1.201E-2</v>
      </c>
      <c r="D25" s="2">
        <f t="shared" si="6"/>
        <v>0.54423129666611103</v>
      </c>
      <c r="F25" s="1">
        <v>0.1</v>
      </c>
      <c r="G25" s="5">
        <v>5.2253327216410001E-4</v>
      </c>
      <c r="H25" s="3">
        <v>7.5449999999999996E-4</v>
      </c>
      <c r="I25" s="2">
        <f t="shared" ref="I25:I26" si="8">((G25-H25)/H25)*100</f>
        <v>-30.744430462014577</v>
      </c>
      <c r="K25" s="1">
        <v>0.1</v>
      </c>
      <c r="L25" s="5">
        <v>7.0524928585869895E-2</v>
      </c>
      <c r="M25" s="3">
        <v>7.0568800000000001E-2</v>
      </c>
      <c r="N25" s="2">
        <f t="shared" si="7"/>
        <v>-6.2168287019342947E-2</v>
      </c>
    </row>
    <row r="26" spans="1:14" x14ac:dyDescent="0.3">
      <c r="A26" s="1">
        <v>1</v>
      </c>
      <c r="B26" s="5">
        <v>1.04866434763557E-2</v>
      </c>
      <c r="C26" s="3">
        <v>1.0659999999999999E-2</v>
      </c>
      <c r="D26" s="2">
        <f t="shared" si="6"/>
        <v>-1.6262338052936147</v>
      </c>
      <c r="F26" s="1">
        <v>1</v>
      </c>
      <c r="G26" s="5">
        <v>9.2761314724519996E-4</v>
      </c>
      <c r="H26" s="3">
        <v>9.299E-4</v>
      </c>
      <c r="I26" s="2">
        <f t="shared" si="8"/>
        <v>-0.24592458918163673</v>
      </c>
      <c r="K26" s="1">
        <v>1</v>
      </c>
      <c r="L26" s="5">
        <v>6.0514366823518503E-2</v>
      </c>
      <c r="M26" s="3">
        <v>6.04699E-2</v>
      </c>
      <c r="N26" s="2">
        <f t="shared" si="7"/>
        <v>7.3535467263057055E-2</v>
      </c>
    </row>
    <row r="27" spans="1:14" x14ac:dyDescent="0.3">
      <c r="A27" s="1">
        <v>10</v>
      </c>
      <c r="B27" s="5">
        <v>5.8247603970598997E-3</v>
      </c>
      <c r="C27" s="3">
        <v>5.9820000000000003E-3</v>
      </c>
      <c r="D27" s="2">
        <f>((B27-C27)/C27)*100</f>
        <v>-2.6285456860598564</v>
      </c>
      <c r="F27" s="1">
        <v>10</v>
      </c>
      <c r="G27" s="5">
        <v>8.3302730784689995E-4</v>
      </c>
      <c r="H27" s="3">
        <v>8.4009999999999998E-4</v>
      </c>
      <c r="I27" s="2">
        <f>((G27-H27)/H27)*100</f>
        <v>-0.84188693644804535</v>
      </c>
      <c r="K27" s="1">
        <v>10</v>
      </c>
      <c r="L27" s="5">
        <v>1.6154699057612801E-2</v>
      </c>
      <c r="M27" s="3">
        <v>1.6092499999999999E-2</v>
      </c>
      <c r="N27" s="2">
        <f>((L27-M27)/M27)*100</f>
        <v>0.38650960144665103</v>
      </c>
    </row>
    <row r="28" spans="1:14" x14ac:dyDescent="0.3">
      <c r="B28" s="1"/>
      <c r="C28" s="1"/>
      <c r="D28" s="2"/>
      <c r="H28" s="1"/>
      <c r="I28" s="6"/>
      <c r="M28" s="1"/>
      <c r="N28" s="6"/>
    </row>
    <row r="29" spans="1:14" x14ac:dyDescent="0.3">
      <c r="A29" s="2" t="s">
        <v>11</v>
      </c>
      <c r="B29" s="1"/>
      <c r="C29" s="1"/>
      <c r="D29" s="2"/>
      <c r="F29" s="2" t="s">
        <v>11</v>
      </c>
      <c r="G29" s="1"/>
      <c r="H29" s="1"/>
      <c r="I29" s="2"/>
      <c r="K29" s="2" t="s">
        <v>11</v>
      </c>
      <c r="L29" s="1"/>
      <c r="M29" s="1"/>
      <c r="N29" s="2"/>
    </row>
    <row r="30" spans="1:14" x14ac:dyDescent="0.3">
      <c r="A30" s="2" t="s">
        <v>8</v>
      </c>
      <c r="B30" s="1"/>
      <c r="C30" s="1"/>
      <c r="D30" s="2"/>
      <c r="F30" s="2" t="s">
        <v>9</v>
      </c>
      <c r="G30" s="1"/>
      <c r="H30" s="1"/>
      <c r="I30" s="2"/>
      <c r="K30" s="2" t="s">
        <v>10</v>
      </c>
      <c r="L30" s="1"/>
      <c r="M30" s="1"/>
      <c r="N30" s="2"/>
    </row>
    <row r="31" spans="1:14" x14ac:dyDescent="0.3">
      <c r="A31" s="1" t="s">
        <v>0</v>
      </c>
      <c r="B31" s="1" t="s">
        <v>4</v>
      </c>
      <c r="C31" s="4" t="s">
        <v>15</v>
      </c>
      <c r="D31" s="2" t="s">
        <v>5</v>
      </c>
      <c r="F31" s="1" t="s">
        <v>0</v>
      </c>
      <c r="G31" s="1" t="s">
        <v>4</v>
      </c>
      <c r="H31" s="4" t="s">
        <v>15</v>
      </c>
      <c r="I31" s="2" t="s">
        <v>5</v>
      </c>
      <c r="K31" s="1" t="s">
        <v>0</v>
      </c>
      <c r="L31" s="1" t="s">
        <v>4</v>
      </c>
      <c r="M31" s="4" t="s">
        <v>15</v>
      </c>
      <c r="N31" s="2" t="s">
        <v>5</v>
      </c>
    </row>
    <row r="32" spans="1:14" x14ac:dyDescent="0.3">
      <c r="A32" s="1">
        <v>0.01</v>
      </c>
      <c r="B32" s="5">
        <v>6.8536667220229095E-5</v>
      </c>
      <c r="C32" s="3">
        <v>7.6530000000000001E-5</v>
      </c>
      <c r="D32" s="2">
        <f t="shared" ref="D32:D34" si="9">((B32-C32)/C32)*100</f>
        <v>-10.444705056541101</v>
      </c>
      <c r="F32" s="1">
        <v>0.01</v>
      </c>
      <c r="G32" s="5">
        <v>0</v>
      </c>
      <c r="H32" s="3">
        <v>0</v>
      </c>
      <c r="I32" s="2">
        <f>IFERROR((((G32-H32)/H32)*100), 0)</f>
        <v>0</v>
      </c>
      <c r="K32" s="1">
        <v>0.01</v>
      </c>
      <c r="L32" s="5">
        <v>3.5550615422909999E-4</v>
      </c>
      <c r="M32" s="3">
        <v>3.59E-4</v>
      </c>
      <c r="N32" s="2">
        <f t="shared" ref="N32:N34" si="10">((L32-M32)/M32)*100</f>
        <v>-0.97321609217270555</v>
      </c>
    </row>
    <row r="33" spans="1:14" x14ac:dyDescent="0.3">
      <c r="A33" s="1">
        <v>0.1</v>
      </c>
      <c r="B33" s="5">
        <v>6.2363302282923997E-3</v>
      </c>
      <c r="C33" s="3">
        <v>6.2620000000000002E-3</v>
      </c>
      <c r="D33" s="2">
        <f t="shared" si="9"/>
        <v>-0.40992928309805915</v>
      </c>
      <c r="F33" s="1">
        <v>0.1</v>
      </c>
      <c r="G33" s="5">
        <v>5.8869328973120002E-4</v>
      </c>
      <c r="H33" s="3">
        <v>5.821E-4</v>
      </c>
      <c r="I33" s="2">
        <f t="shared" ref="I33:I34" si="11">((G33-H33)/H33)*100</f>
        <v>1.1326730340491358</v>
      </c>
      <c r="K33" s="1">
        <v>0.1</v>
      </c>
      <c r="L33" s="5">
        <v>4.3107606521021998E-3</v>
      </c>
      <c r="M33" s="3">
        <v>4.3049999999999998E-3</v>
      </c>
      <c r="N33" s="2">
        <f t="shared" si="10"/>
        <v>0.13381305696167209</v>
      </c>
    </row>
    <row r="34" spans="1:14" x14ac:dyDescent="0.3">
      <c r="A34" s="1">
        <v>1</v>
      </c>
      <c r="B34" s="5">
        <v>4.0891945892993003E-3</v>
      </c>
      <c r="C34" s="3">
        <v>4.2009999999999999E-3</v>
      </c>
      <c r="D34" s="2">
        <f t="shared" si="9"/>
        <v>-2.6613999214639268</v>
      </c>
      <c r="F34" s="1">
        <v>1</v>
      </c>
      <c r="G34" s="5">
        <v>1.1557866684005001E-3</v>
      </c>
      <c r="H34" s="3">
        <v>1.1609999999999999E-3</v>
      </c>
      <c r="I34" s="2">
        <f t="shared" si="11"/>
        <v>-0.4490380361326286</v>
      </c>
      <c r="K34" s="1">
        <v>1</v>
      </c>
      <c r="L34" s="5">
        <v>3.7998084311725998E-3</v>
      </c>
      <c r="M34" s="3">
        <v>3.8140000000000001E-3</v>
      </c>
      <c r="N34" s="2">
        <f t="shared" si="10"/>
        <v>-0.37209147423702976</v>
      </c>
    </row>
    <row r="35" spans="1:14" x14ac:dyDescent="0.3">
      <c r="A35" s="1">
        <v>10</v>
      </c>
      <c r="B35" s="5">
        <v>2.3775401315517999E-3</v>
      </c>
      <c r="C35" s="3">
        <v>2.457E-3</v>
      </c>
      <c r="D35" s="2">
        <f>((B35-C35)/C35)*100</f>
        <v>-3.2340198798616244</v>
      </c>
      <c r="F35" s="1">
        <v>10</v>
      </c>
      <c r="G35" s="5">
        <v>1.0152495221073001E-3</v>
      </c>
      <c r="H35" s="3">
        <v>1.0219999999999999E-3</v>
      </c>
      <c r="I35" s="2">
        <f>((G35-H35)/H35)*100</f>
        <v>-0.66051642785712661</v>
      </c>
      <c r="K35" s="1">
        <v>10</v>
      </c>
      <c r="L35" s="5">
        <v>2.0956408301105E-3</v>
      </c>
      <c r="M35" s="3">
        <v>2.1059999999999998E-3</v>
      </c>
      <c r="N35" s="2">
        <f>((L35-M35)/M35)*100</f>
        <v>-0.49188840880815543</v>
      </c>
    </row>
    <row r="36" spans="1:14" x14ac:dyDescent="0.3">
      <c r="A36" s="1"/>
      <c r="B36" s="1"/>
      <c r="C36" s="1"/>
      <c r="D36" s="1"/>
      <c r="F36" s="1"/>
      <c r="G36" s="1"/>
      <c r="H36" s="1"/>
      <c r="I36" s="1"/>
      <c r="K36" s="1"/>
      <c r="L36" s="1"/>
      <c r="M36" s="1"/>
      <c r="N36" s="1"/>
    </row>
    <row r="37" spans="1:14" x14ac:dyDescent="0.3">
      <c r="A37" s="1"/>
      <c r="B37" s="1"/>
      <c r="C37" s="1"/>
      <c r="D37" s="1"/>
      <c r="F37" s="1"/>
      <c r="G37" s="1"/>
      <c r="H37" s="1"/>
      <c r="I37" s="1"/>
      <c r="K37" s="1"/>
      <c r="L37" s="1"/>
      <c r="M37" s="1"/>
      <c r="N37" s="1"/>
    </row>
    <row r="38" spans="1:14" x14ac:dyDescent="0.3">
      <c r="A38" s="1"/>
      <c r="B38" s="1"/>
      <c r="C38" s="1"/>
      <c r="D38" s="1"/>
      <c r="F38" s="1"/>
      <c r="G38" s="1"/>
      <c r="H38" s="1"/>
      <c r="I38" s="1"/>
      <c r="K38" s="1"/>
      <c r="L38" s="1"/>
      <c r="M38" s="1"/>
      <c r="N38" s="1"/>
    </row>
    <row r="39" spans="1:14" x14ac:dyDescent="0.3">
      <c r="A39" s="1"/>
      <c r="C39" s="1"/>
      <c r="D39" s="1"/>
      <c r="F39" s="1"/>
      <c r="H39" s="1"/>
      <c r="I39" s="1"/>
      <c r="K39" s="1"/>
      <c r="M39" s="1"/>
      <c r="N39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3E943-C9D8-44CD-A2E7-CB5E0336AF26}">
  <dimension ref="A1:N39"/>
  <sheetViews>
    <sheetView tabSelected="1" zoomScale="69" workbookViewId="0"/>
  </sheetViews>
  <sheetFormatPr defaultRowHeight="14.4" x14ac:dyDescent="0.3"/>
  <cols>
    <col min="1" max="1" width="27" bestFit="1" customWidth="1"/>
    <col min="2" max="2" width="10.109375" bestFit="1" customWidth="1"/>
    <col min="3" max="3" width="10.21875" bestFit="1" customWidth="1"/>
    <col min="4" max="4" width="10.109375" bestFit="1" customWidth="1"/>
    <col min="6" max="6" width="18.6640625" bestFit="1" customWidth="1"/>
    <col min="7" max="7" width="10.109375" bestFit="1" customWidth="1"/>
    <col min="8" max="8" width="10.5546875" customWidth="1"/>
    <col min="9" max="9" width="10.109375" bestFit="1" customWidth="1"/>
    <col min="11" max="11" width="18.6640625" bestFit="1" customWidth="1"/>
    <col min="12" max="12" width="10.109375" bestFit="1" customWidth="1"/>
    <col min="13" max="13" width="10.21875" bestFit="1" customWidth="1"/>
    <col min="14" max="14" width="10.109375" bestFit="1" customWidth="1"/>
  </cols>
  <sheetData>
    <row r="1" spans="1:14" x14ac:dyDescent="0.3">
      <c r="A1" s="1" t="s">
        <v>17</v>
      </c>
      <c r="B1" s="1"/>
      <c r="C1" s="1"/>
      <c r="D1" s="1"/>
    </row>
    <row r="2" spans="1:14" x14ac:dyDescent="0.3">
      <c r="A2" s="2" t="s">
        <v>16</v>
      </c>
      <c r="B2" s="1"/>
      <c r="C2" s="1"/>
      <c r="D2" s="1"/>
    </row>
    <row r="3" spans="1:14" x14ac:dyDescent="0.3">
      <c r="A3" s="1"/>
      <c r="B3" s="1"/>
      <c r="C3" s="1"/>
      <c r="D3" s="1"/>
    </row>
    <row r="4" spans="1:14" x14ac:dyDescent="0.3">
      <c r="A4" s="2" t="s">
        <v>14</v>
      </c>
      <c r="B4" s="1"/>
      <c r="C4" s="1"/>
      <c r="D4" s="1"/>
    </row>
    <row r="5" spans="1:14" x14ac:dyDescent="0.3">
      <c r="A5" s="2" t="s">
        <v>2</v>
      </c>
      <c r="B5" s="1"/>
      <c r="C5" s="1"/>
      <c r="D5" s="1"/>
      <c r="F5" s="2" t="s">
        <v>2</v>
      </c>
      <c r="G5" s="1"/>
      <c r="H5" s="1"/>
      <c r="I5" s="1"/>
      <c r="K5" s="2" t="s">
        <v>2</v>
      </c>
      <c r="L5" s="1"/>
      <c r="M5" s="1"/>
      <c r="N5" s="1"/>
    </row>
    <row r="6" spans="1:14" x14ac:dyDescent="0.3">
      <c r="A6" s="2" t="s">
        <v>3</v>
      </c>
      <c r="B6" s="1"/>
      <c r="C6" s="1"/>
      <c r="D6" s="1"/>
      <c r="F6" s="2" t="s">
        <v>6</v>
      </c>
      <c r="G6" s="1"/>
      <c r="H6" s="1"/>
      <c r="I6" s="1"/>
      <c r="K6" s="2" t="s">
        <v>7</v>
      </c>
      <c r="L6" s="1"/>
      <c r="M6" s="1"/>
      <c r="N6" s="1"/>
    </row>
    <row r="7" spans="1:14" x14ac:dyDescent="0.3">
      <c r="A7" s="1" t="s">
        <v>0</v>
      </c>
      <c r="B7" s="1" t="s">
        <v>4</v>
      </c>
      <c r="C7" s="4" t="s">
        <v>15</v>
      </c>
      <c r="D7" s="1" t="s">
        <v>5</v>
      </c>
      <c r="F7" s="1" t="s">
        <v>0</v>
      </c>
      <c r="G7" s="1" t="s">
        <v>4</v>
      </c>
      <c r="H7" s="4" t="s">
        <v>15</v>
      </c>
      <c r="I7" s="1" t="s">
        <v>5</v>
      </c>
      <c r="K7" s="1" t="s">
        <v>0</v>
      </c>
      <c r="L7" s="1" t="s">
        <v>4</v>
      </c>
      <c r="M7" s="4" t="s">
        <v>15</v>
      </c>
      <c r="N7" s="1" t="s">
        <v>5</v>
      </c>
    </row>
    <row r="8" spans="1:14" x14ac:dyDescent="0.3">
      <c r="A8" s="1">
        <v>0.01</v>
      </c>
      <c r="B8" s="10">
        <v>6.6877249495831396E-8</v>
      </c>
      <c r="C8" s="11">
        <v>7.1680000000000004E-8</v>
      </c>
      <c r="D8" s="12">
        <f t="shared" ref="D8:D10" si="0">((B8-C8)/C8)*100</f>
        <v>-6.7002657703245081</v>
      </c>
      <c r="F8" s="1">
        <v>0.01</v>
      </c>
      <c r="G8" s="10">
        <v>0</v>
      </c>
      <c r="H8" s="11">
        <v>0</v>
      </c>
      <c r="I8" s="12">
        <f>IFERROR((((G8-H8)/H8)*100), 0)</f>
        <v>0</v>
      </c>
      <c r="K8" s="1">
        <v>0.01</v>
      </c>
      <c r="L8" s="10">
        <v>3.7818802999608398E-7</v>
      </c>
      <c r="M8" s="11">
        <v>3.5909999999999998E-7</v>
      </c>
      <c r="N8" s="12">
        <f t="shared" ref="N8:N10" si="1">((L8-M8)/M8)*100</f>
        <v>5.3155193528499041</v>
      </c>
    </row>
    <row r="9" spans="1:14" x14ac:dyDescent="0.3">
      <c r="A9" s="1">
        <v>0.1</v>
      </c>
      <c r="B9" s="10">
        <v>8.7565112842295997E-3</v>
      </c>
      <c r="C9" s="11">
        <v>8.7039999999999999E-3</v>
      </c>
      <c r="D9" s="12">
        <f t="shared" si="0"/>
        <v>0.60330060006433595</v>
      </c>
      <c r="F9" s="1">
        <v>0.1</v>
      </c>
      <c r="G9" s="10">
        <v>3.2388033123459999E-4</v>
      </c>
      <c r="H9" s="11">
        <v>3.19E-4</v>
      </c>
      <c r="I9" s="12">
        <f t="shared" ref="I9:I10" si="2">((G9-H9)/H9)*100</f>
        <v>1.5298843995611255</v>
      </c>
      <c r="K9" s="1">
        <v>0.1</v>
      </c>
      <c r="L9" s="10">
        <v>1.59614707262399E-2</v>
      </c>
      <c r="M9" s="11">
        <v>1.6140000000000002E-2</v>
      </c>
      <c r="N9" s="12">
        <f t="shared" si="1"/>
        <v>-1.1061293293686592</v>
      </c>
    </row>
    <row r="10" spans="1:14" x14ac:dyDescent="0.3">
      <c r="A10" s="1">
        <v>1</v>
      </c>
      <c r="B10" s="10">
        <v>8.0253595571212998E-3</v>
      </c>
      <c r="C10" s="11">
        <v>8.1589999999999996E-3</v>
      </c>
      <c r="D10" s="12">
        <f t="shared" si="0"/>
        <v>-1.6379512547947033</v>
      </c>
      <c r="F10" s="1">
        <v>1</v>
      </c>
      <c r="G10" s="10">
        <v>6.0873360793750001E-4</v>
      </c>
      <c r="H10" s="11">
        <v>6.0849999999999999E-4</v>
      </c>
      <c r="I10" s="12">
        <f t="shared" si="2"/>
        <v>3.839078677075098E-2</v>
      </c>
      <c r="K10" s="1">
        <v>1</v>
      </c>
      <c r="L10" s="10">
        <v>1.2996270712615899E-2</v>
      </c>
      <c r="M10" s="11">
        <v>1.306E-2</v>
      </c>
      <c r="N10" s="12">
        <f t="shared" si="1"/>
        <v>-0.48797310401302535</v>
      </c>
    </row>
    <row r="11" spans="1:14" x14ac:dyDescent="0.3">
      <c r="A11" s="1">
        <v>10</v>
      </c>
      <c r="B11" s="10">
        <v>4.6919085219553E-3</v>
      </c>
      <c r="C11" s="11">
        <v>4.8139999999999997E-3</v>
      </c>
      <c r="D11" s="12">
        <f>((B11-C11)/C11)*100</f>
        <v>-2.5361752813606087</v>
      </c>
      <c r="F11" s="1">
        <v>10</v>
      </c>
      <c r="G11" s="10">
        <v>6.0149263356060005E-4</v>
      </c>
      <c r="H11" s="11">
        <v>5.9460000000000003E-4</v>
      </c>
      <c r="I11" s="12">
        <f>((G11-H11)/H11)*100</f>
        <v>1.1592051060544939</v>
      </c>
      <c r="K11" s="1">
        <v>10</v>
      </c>
      <c r="L11" s="10">
        <v>7.3377414044156E-3</v>
      </c>
      <c r="M11" s="11">
        <v>7.3829999999999998E-3</v>
      </c>
      <c r="N11" s="12">
        <f>((L11-M11)/M11)*100</f>
        <v>-0.61301091134226993</v>
      </c>
    </row>
    <row r="12" spans="1:14" x14ac:dyDescent="0.3">
      <c r="B12" s="10"/>
      <c r="C12" s="10"/>
      <c r="D12" s="12"/>
      <c r="G12" s="10"/>
      <c r="H12" s="10"/>
      <c r="I12" s="12"/>
      <c r="L12" s="10"/>
      <c r="M12" s="10"/>
      <c r="N12" s="12"/>
    </row>
    <row r="13" spans="1:14" x14ac:dyDescent="0.3">
      <c r="A13" s="2" t="s">
        <v>2</v>
      </c>
      <c r="B13" s="10"/>
      <c r="C13" s="10"/>
      <c r="D13" s="12"/>
      <c r="F13" s="2" t="s">
        <v>2</v>
      </c>
      <c r="G13" s="10"/>
      <c r="H13" s="10"/>
      <c r="I13" s="12"/>
      <c r="K13" s="2" t="s">
        <v>2</v>
      </c>
      <c r="L13" s="10"/>
      <c r="M13" s="10"/>
      <c r="N13" s="12"/>
    </row>
    <row r="14" spans="1:14" x14ac:dyDescent="0.3">
      <c r="A14" s="2" t="s">
        <v>8</v>
      </c>
      <c r="B14" s="10"/>
      <c r="C14" s="10"/>
      <c r="D14" s="12"/>
      <c r="F14" s="2" t="s">
        <v>9</v>
      </c>
      <c r="G14" s="10"/>
      <c r="H14" s="10"/>
      <c r="I14" s="12"/>
      <c r="K14" s="2" t="s">
        <v>10</v>
      </c>
      <c r="L14" s="10"/>
      <c r="M14" s="10"/>
      <c r="N14" s="12"/>
    </row>
    <row r="15" spans="1:14" x14ac:dyDescent="0.3">
      <c r="A15" s="1" t="s">
        <v>0</v>
      </c>
      <c r="B15" s="10" t="s">
        <v>4</v>
      </c>
      <c r="C15" s="10" t="s">
        <v>15</v>
      </c>
      <c r="D15" s="12" t="s">
        <v>5</v>
      </c>
      <c r="F15" s="1" t="s">
        <v>0</v>
      </c>
      <c r="G15" s="10" t="s">
        <v>4</v>
      </c>
      <c r="H15" s="10" t="s">
        <v>15</v>
      </c>
      <c r="I15" s="12" t="s">
        <v>5</v>
      </c>
      <c r="K15" s="1" t="s">
        <v>0</v>
      </c>
      <c r="L15" s="10" t="s">
        <v>4</v>
      </c>
      <c r="M15" s="10" t="s">
        <v>15</v>
      </c>
      <c r="N15" s="12" t="s">
        <v>5</v>
      </c>
    </row>
    <row r="16" spans="1:14" x14ac:dyDescent="0.3">
      <c r="A16" s="1">
        <v>0.01</v>
      </c>
      <c r="B16" s="10">
        <v>3.4268434008083903E-8</v>
      </c>
      <c r="C16" s="11">
        <v>3.6739999999999997E-8</v>
      </c>
      <c r="D16" s="12">
        <f t="shared" ref="D16:D18" si="3">((B16-C16)/C16)*100</f>
        <v>-6.7271801630813668</v>
      </c>
      <c r="F16" s="1">
        <v>0.01</v>
      </c>
      <c r="G16" s="10">
        <v>0</v>
      </c>
      <c r="H16" s="11">
        <v>0</v>
      </c>
      <c r="I16" s="12">
        <f>IFERROR((((G16-H16)/H16)*100), 0)</f>
        <v>0</v>
      </c>
      <c r="K16" s="1">
        <v>0.01</v>
      </c>
      <c r="L16" s="10">
        <v>1.6951655925556001E-3</v>
      </c>
      <c r="M16" s="11">
        <v>1.676E-3</v>
      </c>
      <c r="N16" s="12">
        <f t="shared" ref="N16:N18" si="4">((L16-M16)/M16)*100</f>
        <v>1.1435317753938006</v>
      </c>
    </row>
    <row r="17" spans="1:14" x14ac:dyDescent="0.3">
      <c r="A17" s="1">
        <v>0.1</v>
      </c>
      <c r="B17" s="10">
        <v>5.2898428734127001E-3</v>
      </c>
      <c r="C17" s="11">
        <v>5.2820000000000002E-3</v>
      </c>
      <c r="D17" s="12">
        <f t="shared" si="3"/>
        <v>0.14848302560961557</v>
      </c>
      <c r="F17" s="1">
        <v>0.1</v>
      </c>
      <c r="G17" s="10">
        <v>1.8071902863615E-3</v>
      </c>
      <c r="H17" s="11">
        <v>1.789E-3</v>
      </c>
      <c r="I17" s="12">
        <f t="shared" ref="I17:I18" si="5">((G17-H17)/H17)*100</f>
        <v>1.0167851515651207</v>
      </c>
      <c r="K17" s="1">
        <v>0.1</v>
      </c>
      <c r="L17" s="10">
        <v>3.7753036082117E-3</v>
      </c>
      <c r="M17" s="11">
        <v>3.787E-3</v>
      </c>
      <c r="N17" s="12">
        <f t="shared" si="4"/>
        <v>-0.30885639789543162</v>
      </c>
    </row>
    <row r="18" spans="1:14" x14ac:dyDescent="0.3">
      <c r="A18" s="1">
        <v>1</v>
      </c>
      <c r="B18" s="10">
        <v>3.7011902924128002E-3</v>
      </c>
      <c r="C18" s="11">
        <v>3.7959999999999999E-3</v>
      </c>
      <c r="D18" s="12">
        <f t="shared" si="3"/>
        <v>-2.4976213800632174</v>
      </c>
      <c r="F18" s="1">
        <v>1</v>
      </c>
      <c r="G18" s="10">
        <v>2.9160491227087E-3</v>
      </c>
      <c r="H18" s="11">
        <v>2.9320000000000001E-3</v>
      </c>
      <c r="I18" s="12">
        <f t="shared" si="5"/>
        <v>-0.54402719274557254</v>
      </c>
      <c r="K18" s="1">
        <v>1</v>
      </c>
      <c r="L18" s="10">
        <v>3.6408205447507002E-3</v>
      </c>
      <c r="M18" s="11">
        <v>3.6459999999999999E-3</v>
      </c>
      <c r="N18" s="12">
        <f t="shared" si="4"/>
        <v>-0.14205856416071724</v>
      </c>
    </row>
    <row r="19" spans="1:14" x14ac:dyDescent="0.3">
      <c r="A19" s="1">
        <v>10</v>
      </c>
      <c r="B19" s="10">
        <v>2.2585533639903001E-3</v>
      </c>
      <c r="C19" s="11">
        <v>2.3249999999999998E-3</v>
      </c>
      <c r="D19" s="12">
        <f>((B19-C19)/C19)*100</f>
        <v>-2.857919828374182</v>
      </c>
      <c r="F19" s="1">
        <v>10</v>
      </c>
      <c r="G19" s="10">
        <v>2.2425714048955E-3</v>
      </c>
      <c r="H19" s="11">
        <v>2.245E-3</v>
      </c>
      <c r="I19" s="12">
        <f>((G19-H19)/H19)*100</f>
        <v>-0.10817795565701703</v>
      </c>
      <c r="K19" s="1">
        <v>10</v>
      </c>
      <c r="L19" s="10">
        <v>1.9734734019313002E-3</v>
      </c>
      <c r="M19" s="11">
        <v>1.98E-3</v>
      </c>
      <c r="N19" s="12">
        <f>((L19-M19)/M19)*100</f>
        <v>-0.3296261650858478</v>
      </c>
    </row>
    <row r="20" spans="1:14" x14ac:dyDescent="0.3">
      <c r="B20" s="10"/>
      <c r="C20" s="10"/>
      <c r="D20" s="12"/>
      <c r="G20" s="10"/>
      <c r="H20" s="10"/>
      <c r="I20" s="12"/>
      <c r="L20" s="10"/>
      <c r="M20" s="10"/>
      <c r="N20" s="12"/>
    </row>
    <row r="21" spans="1:14" x14ac:dyDescent="0.3">
      <c r="A21" s="2" t="s">
        <v>11</v>
      </c>
      <c r="B21" s="10"/>
      <c r="C21" s="10"/>
      <c r="D21" s="12"/>
      <c r="F21" s="2" t="s">
        <v>11</v>
      </c>
      <c r="G21" s="10"/>
      <c r="H21" s="10"/>
      <c r="I21" s="12"/>
      <c r="K21" s="2" t="s">
        <v>11</v>
      </c>
      <c r="L21" s="10"/>
      <c r="M21" s="10"/>
      <c r="N21" s="12"/>
    </row>
    <row r="22" spans="1:14" x14ac:dyDescent="0.3">
      <c r="A22" s="2" t="s">
        <v>3</v>
      </c>
      <c r="B22" s="10"/>
      <c r="C22" s="10"/>
      <c r="D22" s="12"/>
      <c r="F22" s="2" t="s">
        <v>6</v>
      </c>
      <c r="G22" s="10"/>
      <c r="H22" s="10"/>
      <c r="I22" s="12"/>
      <c r="K22" s="2" t="s">
        <v>7</v>
      </c>
      <c r="L22" s="10"/>
      <c r="M22" s="10"/>
      <c r="N22" s="12"/>
    </row>
    <row r="23" spans="1:14" x14ac:dyDescent="0.3">
      <c r="A23" s="1" t="s">
        <v>0</v>
      </c>
      <c r="B23" s="10" t="s">
        <v>4</v>
      </c>
      <c r="C23" s="10" t="s">
        <v>15</v>
      </c>
      <c r="D23" s="12" t="s">
        <v>5</v>
      </c>
      <c r="F23" s="1" t="s">
        <v>0</v>
      </c>
      <c r="G23" s="10" t="s">
        <v>4</v>
      </c>
      <c r="H23" s="10" t="s">
        <v>15</v>
      </c>
      <c r="I23" s="12" t="s">
        <v>5</v>
      </c>
      <c r="K23" s="1" t="s">
        <v>0</v>
      </c>
      <c r="L23" s="10" t="s">
        <v>4</v>
      </c>
      <c r="M23" s="10" t="s">
        <v>15</v>
      </c>
      <c r="N23" s="12" t="s">
        <v>5</v>
      </c>
    </row>
    <row r="24" spans="1:14" x14ac:dyDescent="0.3">
      <c r="A24" s="1">
        <v>0.01</v>
      </c>
      <c r="B24" s="10">
        <v>1.2441261107661599E-7</v>
      </c>
      <c r="C24" s="14">
        <v>1.1969999999999999E-7</v>
      </c>
      <c r="D24" s="12">
        <f t="shared" ref="D24:D26" si="6">((B24-C24)/C24)*100</f>
        <v>3.9370184432882196</v>
      </c>
      <c r="F24" s="1">
        <v>0.01</v>
      </c>
      <c r="G24" s="10">
        <v>0</v>
      </c>
      <c r="H24" s="14">
        <v>0</v>
      </c>
      <c r="I24" s="12">
        <f>IFERROR((((G24-H24)/H24)*100), 0)</f>
        <v>0</v>
      </c>
      <c r="K24" s="1">
        <v>0.01</v>
      </c>
      <c r="L24" s="10">
        <v>1.1271571429460701E-6</v>
      </c>
      <c r="M24" s="14">
        <v>1.124E-6</v>
      </c>
      <c r="N24" s="12">
        <f t="shared" ref="N24:N26" si="7">((L24-M24)/M24)*100</f>
        <v>0.28088460374289581</v>
      </c>
    </row>
    <row r="25" spans="1:14" x14ac:dyDescent="0.3">
      <c r="A25" s="1">
        <v>0.1</v>
      </c>
      <c r="B25" s="10">
        <v>1.0508192656912999E-2</v>
      </c>
      <c r="C25" s="14">
        <v>1.044E-2</v>
      </c>
      <c r="D25" s="12">
        <f t="shared" si="6"/>
        <v>0.6531863688984636</v>
      </c>
      <c r="F25" s="1">
        <v>0.1</v>
      </c>
      <c r="G25" s="10">
        <v>7.5344152155705897E-5</v>
      </c>
      <c r="H25" s="14">
        <v>7.5339999999999994E-5</v>
      </c>
      <c r="I25" s="12">
        <f t="shared" ref="I25:I26" si="8">((G25-H25)/H25)*100</f>
        <v>5.5112233951470514E-3</v>
      </c>
      <c r="K25" s="1">
        <v>0.1</v>
      </c>
      <c r="L25" s="10">
        <v>1.8106627883372198E-2</v>
      </c>
      <c r="M25" s="14">
        <v>1.813E-2</v>
      </c>
      <c r="N25" s="12">
        <f t="shared" si="7"/>
        <v>-0.12891404648539348</v>
      </c>
    </row>
    <row r="26" spans="1:14" x14ac:dyDescent="0.3">
      <c r="A26" s="1">
        <v>1</v>
      </c>
      <c r="B26" s="10">
        <v>9.5661221374500997E-3</v>
      </c>
      <c r="C26" s="14">
        <v>9.7260000000000003E-3</v>
      </c>
      <c r="D26" s="12">
        <f t="shared" si="6"/>
        <v>-1.6438192735955228</v>
      </c>
      <c r="F26" s="1">
        <v>1</v>
      </c>
      <c r="G26" s="10">
        <v>2.7230902260649999E-4</v>
      </c>
      <c r="H26" s="14">
        <v>2.7389999999999999E-4</v>
      </c>
      <c r="I26" s="12">
        <f t="shared" si="8"/>
        <v>-0.58086067670682739</v>
      </c>
      <c r="K26" s="1">
        <v>1</v>
      </c>
      <c r="L26" s="10">
        <v>1.46004263748986E-2</v>
      </c>
      <c r="M26" s="14">
        <v>1.465E-2</v>
      </c>
      <c r="N26" s="12">
        <f t="shared" si="7"/>
        <v>-0.33838651946348214</v>
      </c>
    </row>
    <row r="27" spans="1:14" x14ac:dyDescent="0.3">
      <c r="A27" s="1">
        <v>10</v>
      </c>
      <c r="B27" s="10">
        <v>5.5527106578825997E-3</v>
      </c>
      <c r="C27" s="14">
        <v>5.6979999999999999E-3</v>
      </c>
      <c r="D27" s="12">
        <f>((B27-C27)/C27)*100</f>
        <v>-2.5498305039908775</v>
      </c>
      <c r="F27" s="1">
        <v>10</v>
      </c>
      <c r="G27" s="10">
        <v>3.6715148959679997E-4</v>
      </c>
      <c r="H27" s="14">
        <v>3.6630000000000001E-4</v>
      </c>
      <c r="I27" s="12">
        <f>((G27-H27)/H27)*100</f>
        <v>0.23245689238328149</v>
      </c>
      <c r="K27" s="1">
        <v>10</v>
      </c>
      <c r="L27" s="10">
        <v>8.2410990080537001E-3</v>
      </c>
      <c r="M27" s="14">
        <v>8.267E-3</v>
      </c>
      <c r="N27" s="12">
        <f>((L27-M27)/M27)*100</f>
        <v>-0.31330581766420684</v>
      </c>
    </row>
    <row r="28" spans="1:14" x14ac:dyDescent="0.3">
      <c r="B28" s="10"/>
      <c r="C28" s="10"/>
      <c r="D28" s="12"/>
      <c r="G28" s="10"/>
      <c r="H28" s="10"/>
      <c r="I28" s="12"/>
      <c r="L28" s="10"/>
      <c r="M28" s="10"/>
      <c r="N28" s="12"/>
    </row>
    <row r="29" spans="1:14" x14ac:dyDescent="0.3">
      <c r="A29" s="2" t="s">
        <v>11</v>
      </c>
      <c r="B29" s="10"/>
      <c r="C29" s="10"/>
      <c r="D29" s="12"/>
      <c r="F29" s="2" t="s">
        <v>11</v>
      </c>
      <c r="G29" s="10"/>
      <c r="H29" s="10"/>
      <c r="I29" s="12"/>
      <c r="K29" s="2" t="s">
        <v>11</v>
      </c>
      <c r="L29" s="10"/>
      <c r="M29" s="10"/>
      <c r="N29" s="12"/>
    </row>
    <row r="30" spans="1:14" x14ac:dyDescent="0.3">
      <c r="A30" s="2" t="s">
        <v>8</v>
      </c>
      <c r="B30" s="10"/>
      <c r="C30" s="10"/>
      <c r="D30" s="12"/>
      <c r="F30" s="2" t="s">
        <v>9</v>
      </c>
      <c r="G30" s="10"/>
      <c r="H30" s="10"/>
      <c r="I30" s="12"/>
      <c r="K30" s="2" t="s">
        <v>10</v>
      </c>
      <c r="L30" s="10"/>
      <c r="M30" s="10"/>
      <c r="N30" s="12"/>
    </row>
    <row r="31" spans="1:14" x14ac:dyDescent="0.3">
      <c r="A31" s="1" t="s">
        <v>0</v>
      </c>
      <c r="B31" s="10" t="s">
        <v>4</v>
      </c>
      <c r="C31" s="10" t="s">
        <v>15</v>
      </c>
      <c r="D31" s="12" t="s">
        <v>5</v>
      </c>
      <c r="F31" s="1" t="s">
        <v>0</v>
      </c>
      <c r="G31" s="10" t="s">
        <v>4</v>
      </c>
      <c r="H31" s="10" t="s">
        <v>15</v>
      </c>
      <c r="I31" s="12" t="s">
        <v>5</v>
      </c>
      <c r="K31" s="1" t="s">
        <v>0</v>
      </c>
      <c r="L31" s="10" t="s">
        <v>4</v>
      </c>
      <c r="M31" s="10" t="s">
        <v>15</v>
      </c>
      <c r="N31" s="12" t="s">
        <v>5</v>
      </c>
    </row>
    <row r="32" spans="1:14" x14ac:dyDescent="0.3">
      <c r="A32" s="1">
        <v>0.01</v>
      </c>
      <c r="B32" s="10">
        <v>6.3390322195127397E-8</v>
      </c>
      <c r="C32" s="14">
        <v>6.102E-8</v>
      </c>
      <c r="D32" s="12">
        <f t="shared" ref="D32:D34" si="9">((B32-C32)/C32)*100</f>
        <v>3.8845004836568298</v>
      </c>
      <c r="F32" s="1">
        <v>0.01</v>
      </c>
      <c r="G32" s="10">
        <v>0</v>
      </c>
      <c r="H32" s="14">
        <v>0</v>
      </c>
      <c r="I32" s="12">
        <f>IFERROR((((G32-H32)/H32)*100), 0)</f>
        <v>0</v>
      </c>
      <c r="K32" s="1">
        <v>0.01</v>
      </c>
      <c r="L32" s="10">
        <v>2.3393833392921001E-3</v>
      </c>
      <c r="M32" s="14">
        <v>2.3140000000000001E-3</v>
      </c>
      <c r="N32" s="12">
        <f t="shared" ref="N32:N34" si="10">((L32-M32)/M32)*100</f>
        <v>1.0969463825453747</v>
      </c>
    </row>
    <row r="33" spans="1:14" x14ac:dyDescent="0.3">
      <c r="A33" s="1">
        <v>0.1</v>
      </c>
      <c r="B33" s="10">
        <v>6.828303985408E-3</v>
      </c>
      <c r="C33" s="14">
        <v>6.901E-3</v>
      </c>
      <c r="D33" s="12">
        <f t="shared" si="9"/>
        <v>-1.0534127603535728</v>
      </c>
      <c r="F33" s="1">
        <v>0.1</v>
      </c>
      <c r="G33" s="10">
        <v>3.2536069815134998E-3</v>
      </c>
      <c r="H33" s="14">
        <v>3.2330000000000002E-3</v>
      </c>
      <c r="I33" s="12">
        <f t="shared" ref="I33:I34" si="11">((G33-H33)/H33)*100</f>
        <v>0.63739503598823544</v>
      </c>
      <c r="K33" s="1">
        <v>0.1</v>
      </c>
      <c r="L33" s="10">
        <v>5.1760395538698002E-3</v>
      </c>
      <c r="M33" s="14">
        <v>5.1900000000000002E-3</v>
      </c>
      <c r="N33" s="12">
        <f t="shared" si="10"/>
        <v>-0.26898740135260085</v>
      </c>
    </row>
    <row r="34" spans="1:14" x14ac:dyDescent="0.3">
      <c r="A34" s="1">
        <v>1</v>
      </c>
      <c r="B34" s="10">
        <v>4.7378690708421E-3</v>
      </c>
      <c r="C34" s="14">
        <v>4.9220000000000002E-3</v>
      </c>
      <c r="D34" s="12">
        <f t="shared" si="9"/>
        <v>-3.7409778374217826</v>
      </c>
      <c r="F34" s="1">
        <v>1</v>
      </c>
      <c r="G34" s="10">
        <v>4.4593282159926997E-3</v>
      </c>
      <c r="H34" s="14">
        <v>4.4850000000000003E-3</v>
      </c>
      <c r="I34" s="12">
        <f t="shared" si="11"/>
        <v>-0.57239206259310138</v>
      </c>
      <c r="K34" s="1">
        <v>1</v>
      </c>
      <c r="L34" s="10">
        <v>4.8405673621129E-3</v>
      </c>
      <c r="M34" s="14">
        <v>4.849E-3</v>
      </c>
      <c r="N34" s="12">
        <f t="shared" si="10"/>
        <v>-0.17390467904928789</v>
      </c>
    </row>
    <row r="35" spans="1:14" x14ac:dyDescent="0.3">
      <c r="A35" s="1">
        <v>10</v>
      </c>
      <c r="B35" s="10">
        <v>2.8630043833568E-3</v>
      </c>
      <c r="C35" s="14">
        <v>2.98E-3</v>
      </c>
      <c r="D35" s="12">
        <f>((B35-C35)/C35)*100</f>
        <v>-3.9260274041342282</v>
      </c>
      <c r="F35" s="1">
        <v>10</v>
      </c>
      <c r="G35" s="10">
        <v>3.163474323893E-3</v>
      </c>
      <c r="H35" s="14">
        <v>3.1649999999999998E-3</v>
      </c>
      <c r="I35" s="12">
        <f>((G35-H35)/H35)*100</f>
        <v>-4.8204616334908815E-2</v>
      </c>
      <c r="K35" s="1">
        <v>10</v>
      </c>
      <c r="L35" s="10">
        <v>2.5516063381138001E-3</v>
      </c>
      <c r="M35" s="14">
        <v>2.5639999999999999E-3</v>
      </c>
      <c r="N35" s="12">
        <f>((L35-M35)/M35)*100</f>
        <v>-0.48337214844772997</v>
      </c>
    </row>
    <row r="36" spans="1:14" x14ac:dyDescent="0.3">
      <c r="A36" s="1"/>
      <c r="B36" s="1"/>
      <c r="C36" s="1"/>
      <c r="D36" s="1"/>
      <c r="F36" s="1"/>
      <c r="G36" s="1"/>
      <c r="H36" s="1"/>
      <c r="I36" s="1"/>
      <c r="K36" s="1"/>
      <c r="L36" s="1"/>
      <c r="M36" s="1"/>
      <c r="N36" s="1"/>
    </row>
    <row r="37" spans="1:14" x14ac:dyDescent="0.3">
      <c r="A37" s="1"/>
      <c r="B37" s="1"/>
      <c r="C37" s="1"/>
      <c r="D37" s="1"/>
      <c r="F37" s="1"/>
      <c r="G37" s="1"/>
      <c r="H37" s="1"/>
      <c r="I37" s="1"/>
      <c r="K37" s="1"/>
      <c r="L37" s="1"/>
      <c r="M37" s="1"/>
      <c r="N37" s="1"/>
    </row>
    <row r="38" spans="1:14" x14ac:dyDescent="0.3">
      <c r="A38" s="1"/>
      <c r="B38" s="1"/>
      <c r="C38" s="1"/>
      <c r="D38" s="1"/>
      <c r="F38" s="1"/>
      <c r="G38" s="1"/>
      <c r="H38" s="1"/>
      <c r="I38" s="1"/>
      <c r="K38" s="1"/>
      <c r="L38" s="1"/>
      <c r="M38" s="1"/>
      <c r="N38" s="1"/>
    </row>
    <row r="39" spans="1:14" x14ac:dyDescent="0.3">
      <c r="A39" s="1"/>
      <c r="C39" s="1"/>
      <c r="D39" s="1"/>
      <c r="F39" s="1"/>
      <c r="H39" s="1"/>
      <c r="I39" s="1"/>
      <c r="K39" s="1"/>
      <c r="M39" s="1"/>
      <c r="N3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Cortical_bone</vt:lpstr>
      <vt:lpstr>Liver</vt:lpstr>
      <vt:lpstr>Lungs</vt:lpstr>
      <vt:lpstr>Thyroid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Albert Feliciano</dc:creator>
  <cp:lastModifiedBy>Clarence Albert Feliciano</cp:lastModifiedBy>
  <dcterms:created xsi:type="dcterms:W3CDTF">2026-08-10T03:17:05Z</dcterms:created>
  <dcterms:modified xsi:type="dcterms:W3CDTF">2026-10-22T08:53:47Z</dcterms:modified>
</cp:coreProperties>
</file>