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clarence\Geant4_SAF_Calculations\PHITS_Geant4_python_scripts\4_results\e_QA\"/>
    </mc:Choice>
  </mc:AlternateContent>
  <xr:revisionPtr revIDLastSave="0" documentId="13_ncr:1_{A980D825-251A-42BE-BF69-B18A5A010AEC}" xr6:coauthVersionLast="47" xr6:coauthVersionMax="47" xr10:uidLastSave="{00000000-0000-0000-0000-000000000000}"/>
  <bookViews>
    <workbookView xWindow="-108" yWindow="-108" windowWidth="23256" windowHeight="13176" activeTab="1" xr2:uid="{727AC7D9-CB15-476D-9018-9B172206195C}"/>
  </bookViews>
  <sheets>
    <sheet name="Cortical_bone" sheetId="1" r:id="rId1"/>
    <sheet name="Liver" sheetId="2" r:id="rId2"/>
    <sheet name="Lungs" sheetId="3" r:id="rId3"/>
    <sheet name="Thyro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N24" i="4"/>
  <c r="N32" i="4"/>
  <c r="D32" i="4"/>
  <c r="N16" i="2"/>
  <c r="I8" i="4"/>
  <c r="I16" i="4"/>
  <c r="I24" i="4"/>
  <c r="I32" i="4"/>
  <c r="I24" i="3"/>
  <c r="I32" i="3"/>
  <c r="I8" i="3"/>
  <c r="I16" i="3"/>
  <c r="I16" i="2"/>
  <c r="N8" i="2"/>
  <c r="N9" i="2"/>
  <c r="N10" i="2"/>
  <c r="N11" i="2"/>
  <c r="I32" i="2"/>
  <c r="D8" i="2"/>
  <c r="N35" i="4"/>
  <c r="I35" i="4"/>
  <c r="D35" i="4"/>
  <c r="N34" i="4"/>
  <c r="I34" i="4"/>
  <c r="D34" i="4"/>
  <c r="N33" i="4"/>
  <c r="I33" i="4"/>
  <c r="D33" i="4"/>
  <c r="N27" i="4"/>
  <c r="I27" i="4"/>
  <c r="D27" i="4"/>
  <c r="N26" i="4"/>
  <c r="I26" i="4"/>
  <c r="D26" i="4"/>
  <c r="N25" i="4"/>
  <c r="I25" i="4"/>
  <c r="D25" i="4"/>
  <c r="D24" i="4"/>
  <c r="N19" i="4"/>
  <c r="I19" i="4"/>
  <c r="D19" i="4"/>
  <c r="N18" i="4"/>
  <c r="I18" i="4"/>
  <c r="D18" i="4"/>
  <c r="N17" i="4"/>
  <c r="I17" i="4"/>
  <c r="D17" i="4"/>
  <c r="N16" i="4"/>
  <c r="D16" i="4"/>
  <c r="N11" i="4"/>
  <c r="I11" i="4"/>
  <c r="D11" i="4"/>
  <c r="N10" i="4"/>
  <c r="I10" i="4"/>
  <c r="D10" i="4"/>
  <c r="N9" i="4"/>
  <c r="I9" i="4"/>
  <c r="D9" i="4"/>
  <c r="N8" i="4"/>
  <c r="D8" i="4"/>
  <c r="N35" i="3"/>
  <c r="I35" i="3"/>
  <c r="D35" i="3"/>
  <c r="N34" i="3"/>
  <c r="I34" i="3"/>
  <c r="D34" i="3"/>
  <c r="N33" i="3"/>
  <c r="I33" i="3"/>
  <c r="D33" i="3"/>
  <c r="N32" i="3"/>
  <c r="D32" i="3"/>
  <c r="N27" i="3"/>
  <c r="I27" i="3"/>
  <c r="D27" i="3"/>
  <c r="N26" i="3"/>
  <c r="I26" i="3"/>
  <c r="D26" i="3"/>
  <c r="N25" i="3"/>
  <c r="I25" i="3"/>
  <c r="D25" i="3"/>
  <c r="N24" i="3"/>
  <c r="D24" i="3"/>
  <c r="N19" i="3"/>
  <c r="I19" i="3"/>
  <c r="D19" i="3"/>
  <c r="N18" i="3"/>
  <c r="I18" i="3"/>
  <c r="D18" i="3"/>
  <c r="N17" i="3"/>
  <c r="I17" i="3"/>
  <c r="D17" i="3"/>
  <c r="N16" i="3"/>
  <c r="D16" i="3"/>
  <c r="N11" i="3"/>
  <c r="I11" i="3"/>
  <c r="D11" i="3"/>
  <c r="N10" i="3"/>
  <c r="I10" i="3"/>
  <c r="D10" i="3"/>
  <c r="N9" i="3"/>
  <c r="I9" i="3"/>
  <c r="D9" i="3"/>
  <c r="N8" i="3"/>
  <c r="D8" i="3"/>
  <c r="D32" i="1"/>
  <c r="N35" i="2"/>
  <c r="I35" i="2"/>
  <c r="D35" i="2"/>
  <c r="N34" i="2"/>
  <c r="I34" i="2"/>
  <c r="D34" i="2"/>
  <c r="N33" i="2"/>
  <c r="I33" i="2"/>
  <c r="D33" i="2"/>
  <c r="N32" i="2"/>
  <c r="D32" i="2"/>
  <c r="N27" i="2"/>
  <c r="I27" i="2"/>
  <c r="D27" i="2"/>
  <c r="N26" i="2"/>
  <c r="I26" i="2"/>
  <c r="D26" i="2"/>
  <c r="N25" i="2"/>
  <c r="I25" i="2"/>
  <c r="D25" i="2"/>
  <c r="N24" i="2"/>
  <c r="I24" i="2"/>
  <c r="D24" i="2"/>
  <c r="N19" i="2"/>
  <c r="I19" i="2"/>
  <c r="D19" i="2"/>
  <c r="N18" i="2"/>
  <c r="I18" i="2"/>
  <c r="D18" i="2"/>
  <c r="N17" i="2"/>
  <c r="I17" i="2"/>
  <c r="D17" i="2"/>
  <c r="D16" i="2"/>
  <c r="D11" i="2"/>
  <c r="D10" i="2"/>
  <c r="D9" i="2"/>
  <c r="N35" i="1"/>
  <c r="I35" i="1"/>
  <c r="D35" i="1"/>
  <c r="N34" i="1"/>
  <c r="I34" i="1"/>
  <c r="D34" i="1"/>
  <c r="N33" i="1"/>
  <c r="I33" i="1"/>
  <c r="D33" i="1"/>
  <c r="N32" i="1"/>
  <c r="I32" i="1"/>
  <c r="N27" i="1"/>
  <c r="I27" i="1"/>
  <c r="D27" i="1"/>
  <c r="N26" i="1"/>
  <c r="I26" i="1"/>
  <c r="D26" i="1"/>
  <c r="N25" i="1"/>
  <c r="I25" i="1"/>
  <c r="D25" i="1"/>
  <c r="N24" i="1"/>
  <c r="I24" i="1"/>
  <c r="D24" i="1"/>
  <c r="N19" i="1"/>
  <c r="I19" i="1"/>
  <c r="D19" i="1"/>
  <c r="N18" i="1"/>
  <c r="I18" i="1"/>
  <c r="D18" i="1"/>
  <c r="N17" i="1"/>
  <c r="I17" i="1"/>
  <c r="D17" i="1"/>
  <c r="N16" i="1"/>
  <c r="I16" i="1"/>
  <c r="D16" i="1"/>
  <c r="N11" i="1"/>
  <c r="N10" i="1"/>
  <c r="N9" i="1"/>
  <c r="N8" i="1"/>
  <c r="I8" i="1"/>
  <c r="I9" i="1"/>
  <c r="I10" i="1"/>
  <c r="D8" i="1"/>
  <c r="D9" i="1"/>
  <c r="D10" i="1"/>
  <c r="I11" i="1"/>
  <c r="D11" i="1"/>
</calcChain>
</file>

<file path=xl/sharedStrings.xml><?xml version="1.0" encoding="utf-8"?>
<sst xmlns="http://schemas.openxmlformats.org/spreadsheetml/2006/main" count="300" uniqueCount="26">
  <si>
    <t>Results vs Annex I of ICRP 145</t>
  </si>
  <si>
    <t>Source: Cortical Bone</t>
  </si>
  <si>
    <t>Male</t>
  </si>
  <si>
    <t>RBM</t>
  </si>
  <si>
    <t>Results</t>
  </si>
  <si>
    <t>% Error</t>
  </si>
  <si>
    <t>Colon</t>
  </si>
  <si>
    <t>Lungs</t>
  </si>
  <si>
    <t>Endosteum</t>
  </si>
  <si>
    <t>Brain</t>
  </si>
  <si>
    <t>Muscle</t>
  </si>
  <si>
    <t>Female</t>
  </si>
  <si>
    <t>Source: Liver</t>
  </si>
  <si>
    <t>Source: Lungs</t>
  </si>
  <si>
    <t>Source: Thyroid</t>
  </si>
  <si>
    <t>Wyatt et al.</t>
  </si>
  <si>
    <t>ICRP 145</t>
  </si>
  <si>
    <t>Electron</t>
  </si>
  <si>
    <t>Liver</t>
  </si>
  <si>
    <t>Electron Energy (MeV)</t>
  </si>
  <si>
    <t>Stomach</t>
  </si>
  <si>
    <t>Gall bladder</t>
  </si>
  <si>
    <t>Thyroid</t>
  </si>
  <si>
    <t>Oesophagus</t>
  </si>
  <si>
    <t>Thymus</t>
  </si>
  <si>
    <t>Extrathoracic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</si>
</sst>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6213-346E-4085-A246-BA1A1D4BC51F}">
  <dimension ref="A1:N35"/>
  <sheetViews>
    <sheetView zoomScale="81" workbookViewId="0">
      <selection activeCell="A31" sqref="A31:A35"/>
    </sheetView>
  </sheetViews>
  <sheetFormatPr defaultRowHeight="14.4" x14ac:dyDescent="0.3"/>
  <cols>
    <col min="1" max="1" width="27.109375" bestFit="1" customWidth="1"/>
    <col min="2" max="3" width="12" style="5" bestFit="1" customWidth="1"/>
    <col min="4" max="4" width="15.88671875" bestFit="1" customWidth="1"/>
    <col min="6" max="6" width="19.33203125" bestFit="1" customWidth="1"/>
    <col min="7" max="8" width="12" style="5" bestFit="1" customWidth="1"/>
    <col min="11" max="11" width="19.33203125" bestFit="1" customWidth="1"/>
    <col min="12" max="13" width="12" style="5" bestFit="1" customWidth="1"/>
  </cols>
  <sheetData>
    <row r="1" spans="1:14" x14ac:dyDescent="0.3">
      <c r="A1" s="1" t="s">
        <v>0</v>
      </c>
      <c r="B1" s="4"/>
      <c r="C1" s="4"/>
      <c r="D1" s="1"/>
      <c r="G1" s="4"/>
      <c r="H1" s="4"/>
      <c r="L1" s="4"/>
      <c r="M1" s="4"/>
    </row>
    <row r="2" spans="1:14" x14ac:dyDescent="0.3">
      <c r="A2" s="2" t="s">
        <v>17</v>
      </c>
      <c r="B2" s="4"/>
      <c r="C2" s="4"/>
      <c r="D2" s="1"/>
      <c r="G2" s="4"/>
      <c r="H2" s="4"/>
      <c r="L2" s="4"/>
      <c r="M2" s="4"/>
    </row>
    <row r="3" spans="1:14" x14ac:dyDescent="0.3">
      <c r="A3" s="1"/>
      <c r="B3" s="4"/>
      <c r="C3" s="4"/>
      <c r="D3" s="1"/>
      <c r="G3" s="4"/>
      <c r="H3" s="4"/>
      <c r="L3" s="4"/>
      <c r="M3" s="4"/>
    </row>
    <row r="4" spans="1:14" x14ac:dyDescent="0.3">
      <c r="A4" s="2" t="s">
        <v>1</v>
      </c>
      <c r="B4" s="4"/>
      <c r="C4" s="4"/>
      <c r="D4" s="1"/>
      <c r="G4" s="4"/>
      <c r="H4" s="4"/>
      <c r="L4" s="4"/>
      <c r="M4" s="4"/>
    </row>
    <row r="5" spans="1:14" x14ac:dyDescent="0.3">
      <c r="A5" s="2" t="s">
        <v>2</v>
      </c>
      <c r="B5" s="4"/>
      <c r="C5" s="4"/>
      <c r="D5" s="1"/>
      <c r="F5" s="2" t="s">
        <v>2</v>
      </c>
      <c r="G5" s="4"/>
      <c r="H5" s="4"/>
      <c r="I5" s="1"/>
      <c r="K5" s="2" t="s">
        <v>2</v>
      </c>
      <c r="L5" s="4"/>
      <c r="M5" s="4"/>
      <c r="N5" s="1"/>
    </row>
    <row r="6" spans="1:14" x14ac:dyDescent="0.3">
      <c r="A6" s="2" t="s">
        <v>3</v>
      </c>
      <c r="B6" s="4"/>
      <c r="C6" s="4"/>
      <c r="D6" s="1"/>
      <c r="F6" s="2" t="s">
        <v>6</v>
      </c>
      <c r="G6" s="4"/>
      <c r="H6" s="4"/>
      <c r="I6" s="1"/>
      <c r="K6" s="2" t="s">
        <v>7</v>
      </c>
      <c r="L6" s="4"/>
      <c r="M6" s="4"/>
      <c r="N6" s="1"/>
    </row>
    <row r="7" spans="1:14" x14ac:dyDescent="0.3">
      <c r="A7" s="1" t="s">
        <v>19</v>
      </c>
      <c r="B7" s="4" t="s">
        <v>4</v>
      </c>
      <c r="C7" s="4" t="s">
        <v>16</v>
      </c>
      <c r="D7" s="2" t="s">
        <v>5</v>
      </c>
      <c r="F7" s="1" t="s">
        <v>19</v>
      </c>
      <c r="G7" s="4" t="s">
        <v>4</v>
      </c>
      <c r="H7" s="4" t="s">
        <v>16</v>
      </c>
      <c r="I7" s="2" t="s">
        <v>5</v>
      </c>
      <c r="K7" s="1" t="s">
        <v>19</v>
      </c>
      <c r="L7" s="4" t="s">
        <v>4</v>
      </c>
      <c r="M7" s="4" t="s">
        <v>16</v>
      </c>
      <c r="N7" s="2" t="s">
        <v>5</v>
      </c>
    </row>
    <row r="8" spans="1:14" x14ac:dyDescent="0.3">
      <c r="A8" s="1">
        <v>0.01</v>
      </c>
      <c r="C8" s="8"/>
      <c r="D8" s="2" t="e">
        <f t="shared" ref="D8:D10" si="0">((B8-C8)/C8)*100</f>
        <v>#DIV/0!</v>
      </c>
      <c r="F8" s="1">
        <v>0.01</v>
      </c>
      <c r="H8" s="8"/>
      <c r="I8" s="2" t="e">
        <f>((G8-H8)/H8)*100</f>
        <v>#DIV/0!</v>
      </c>
      <c r="K8" s="1">
        <v>0.01</v>
      </c>
      <c r="M8" s="8"/>
      <c r="N8" s="2" t="e">
        <f t="shared" ref="N8:N10" si="1">((L8-M8)/M8)*100</f>
        <v>#DIV/0!</v>
      </c>
    </row>
    <row r="9" spans="1:14" x14ac:dyDescent="0.3">
      <c r="A9" s="1">
        <v>0.1</v>
      </c>
      <c r="C9" s="8"/>
      <c r="D9" s="2" t="e">
        <f t="shared" si="0"/>
        <v>#DIV/0!</v>
      </c>
      <c r="F9" s="1">
        <v>0.1</v>
      </c>
      <c r="H9" s="8"/>
      <c r="I9" s="2" t="e">
        <f>((G9-H9)/H9)*100</f>
        <v>#DIV/0!</v>
      </c>
      <c r="K9" s="1">
        <v>0.1</v>
      </c>
      <c r="M9" s="8"/>
      <c r="N9" s="2" t="e">
        <f t="shared" si="1"/>
        <v>#DIV/0!</v>
      </c>
    </row>
    <row r="10" spans="1:14" x14ac:dyDescent="0.3">
      <c r="A10" s="1">
        <v>1</v>
      </c>
      <c r="C10" s="8"/>
      <c r="D10" s="2" t="e">
        <f t="shared" si="0"/>
        <v>#DIV/0!</v>
      </c>
      <c r="F10" s="1">
        <v>1</v>
      </c>
      <c r="H10" s="8"/>
      <c r="I10" s="2" t="e">
        <f>((G10-H10)/H10)*100</f>
        <v>#DIV/0!</v>
      </c>
      <c r="K10" s="1">
        <v>1</v>
      </c>
      <c r="M10" s="8"/>
      <c r="N10" s="2" t="e">
        <f t="shared" si="1"/>
        <v>#DIV/0!</v>
      </c>
    </row>
    <row r="11" spans="1:14" x14ac:dyDescent="0.3">
      <c r="A11" s="1">
        <v>10</v>
      </c>
      <c r="C11" s="8"/>
      <c r="D11" s="2" t="e">
        <f>((B11-C11)/C11)*100</f>
        <v>#DIV/0!</v>
      </c>
      <c r="F11" s="1">
        <v>10</v>
      </c>
      <c r="H11" s="8"/>
      <c r="I11" s="2" t="e">
        <f>((G11-H11)/H11)*100</f>
        <v>#DIV/0!</v>
      </c>
      <c r="K11" s="1">
        <v>10</v>
      </c>
      <c r="M11" s="8"/>
      <c r="N11" s="2" t="e">
        <f>((L11-M11)/M11)*100</f>
        <v>#DIV/0!</v>
      </c>
    </row>
    <row r="12" spans="1:14" x14ac:dyDescent="0.3">
      <c r="B12" s="4"/>
      <c r="C12" s="4"/>
      <c r="D12" s="2"/>
      <c r="G12" s="4"/>
      <c r="H12" s="4"/>
      <c r="I12" s="6"/>
      <c r="L12" s="4"/>
      <c r="M12" s="4"/>
      <c r="N12" s="6"/>
    </row>
    <row r="13" spans="1:14" x14ac:dyDescent="0.3">
      <c r="A13" s="2" t="s">
        <v>2</v>
      </c>
      <c r="B13" s="4"/>
      <c r="C13" s="4"/>
      <c r="D13" s="2"/>
      <c r="F13" s="2" t="s">
        <v>2</v>
      </c>
      <c r="G13" s="4"/>
      <c r="H13" s="4"/>
      <c r="I13" s="2"/>
      <c r="K13" s="2" t="s">
        <v>2</v>
      </c>
      <c r="L13" s="4"/>
      <c r="M13" s="4"/>
      <c r="N13" s="2"/>
    </row>
    <row r="14" spans="1:14" x14ac:dyDescent="0.3">
      <c r="A14" s="2" t="s">
        <v>8</v>
      </c>
      <c r="B14" s="4"/>
      <c r="C14" s="4"/>
      <c r="D14" s="2"/>
      <c r="F14" s="2" t="s">
        <v>9</v>
      </c>
      <c r="G14" s="4"/>
      <c r="H14" s="4"/>
      <c r="I14" s="2"/>
      <c r="K14" s="2" t="s">
        <v>10</v>
      </c>
      <c r="L14" s="4"/>
      <c r="M14" s="4"/>
      <c r="N14" s="2"/>
    </row>
    <row r="15" spans="1:14" x14ac:dyDescent="0.3">
      <c r="A15" s="1" t="s">
        <v>19</v>
      </c>
      <c r="B15" s="4" t="s">
        <v>4</v>
      </c>
      <c r="C15" s="4" t="s">
        <v>16</v>
      </c>
      <c r="D15" s="2" t="s">
        <v>5</v>
      </c>
      <c r="F15" s="1" t="s">
        <v>19</v>
      </c>
      <c r="G15" s="4" t="s">
        <v>4</v>
      </c>
      <c r="H15" s="4" t="s">
        <v>16</v>
      </c>
      <c r="I15" s="2" t="s">
        <v>5</v>
      </c>
      <c r="K15" s="1" t="s">
        <v>19</v>
      </c>
      <c r="L15" s="4" t="s">
        <v>4</v>
      </c>
      <c r="M15" s="4" t="s">
        <v>16</v>
      </c>
      <c r="N15" s="2" t="s">
        <v>5</v>
      </c>
    </row>
    <row r="16" spans="1:14" x14ac:dyDescent="0.3">
      <c r="A16" s="1">
        <v>0.01</v>
      </c>
      <c r="C16" s="7"/>
      <c r="D16" s="2" t="e">
        <f t="shared" ref="D16:D18" si="2">((B16-C16)/C16)*100</f>
        <v>#DIV/0!</v>
      </c>
      <c r="F16" s="1">
        <v>0.01</v>
      </c>
      <c r="H16" s="7"/>
      <c r="I16" s="2" t="e">
        <f>((G16-H16)/H16)*100</f>
        <v>#DIV/0!</v>
      </c>
      <c r="K16" s="1">
        <v>0.01</v>
      </c>
      <c r="M16" s="7"/>
      <c r="N16" s="2" t="e">
        <f t="shared" ref="N16" si="3">((L16-M16)/M16)*100</f>
        <v>#DIV/0!</v>
      </c>
    </row>
    <row r="17" spans="1:14" x14ac:dyDescent="0.3">
      <c r="A17" s="1">
        <v>0.1</v>
      </c>
      <c r="C17" s="7"/>
      <c r="D17" s="2" t="e">
        <f t="shared" si="2"/>
        <v>#DIV/0!</v>
      </c>
      <c r="F17" s="1">
        <v>0.1</v>
      </c>
      <c r="H17" s="7"/>
      <c r="I17" s="2" t="e">
        <f>((G17-H17)/H17)*100</f>
        <v>#DIV/0!</v>
      </c>
      <c r="K17" s="1">
        <v>0.1</v>
      </c>
      <c r="M17" s="7"/>
      <c r="N17" s="2" t="e">
        <f>((L17-M17)/M17)*100</f>
        <v>#DIV/0!</v>
      </c>
    </row>
    <row r="18" spans="1:14" x14ac:dyDescent="0.3">
      <c r="A18" s="1">
        <v>1</v>
      </c>
      <c r="C18" s="7"/>
      <c r="D18" s="2" t="e">
        <f t="shared" si="2"/>
        <v>#DIV/0!</v>
      </c>
      <c r="F18" s="1">
        <v>1</v>
      </c>
      <c r="H18" s="7"/>
      <c r="I18" s="2" t="e">
        <f>((G18-H18)/H18)*100</f>
        <v>#DIV/0!</v>
      </c>
      <c r="K18" s="1">
        <v>1</v>
      </c>
      <c r="M18" s="7"/>
      <c r="N18" s="2" t="e">
        <f>((L18-M18)/M18)*100</f>
        <v>#DIV/0!</v>
      </c>
    </row>
    <row r="19" spans="1:14" x14ac:dyDescent="0.3">
      <c r="A19" s="1">
        <v>10</v>
      </c>
      <c r="C19" s="7"/>
      <c r="D19" s="2" t="e">
        <f>((B19-C19)/C19)*100</f>
        <v>#DIV/0!</v>
      </c>
      <c r="F19" s="1">
        <v>10</v>
      </c>
      <c r="H19" s="7"/>
      <c r="I19" s="2" t="e">
        <f>((G19-H19)/H19)*100</f>
        <v>#DIV/0!</v>
      </c>
      <c r="K19" s="1">
        <v>10</v>
      </c>
      <c r="M19" s="7"/>
      <c r="N19" s="2" t="e">
        <f>((L19-M19)/M19)*100</f>
        <v>#DIV/0!</v>
      </c>
    </row>
    <row r="20" spans="1:14" x14ac:dyDescent="0.3">
      <c r="D20" s="6"/>
      <c r="I20" s="6"/>
      <c r="N20" s="6"/>
    </row>
    <row r="21" spans="1:14" x14ac:dyDescent="0.3">
      <c r="A21" s="2" t="s">
        <v>11</v>
      </c>
      <c r="B21" s="4"/>
      <c r="C21" s="4"/>
      <c r="D21" s="2"/>
      <c r="F21" s="2" t="s">
        <v>11</v>
      </c>
      <c r="G21" s="4"/>
      <c r="H21" s="4"/>
      <c r="I21" s="2"/>
      <c r="K21" s="2" t="s">
        <v>11</v>
      </c>
      <c r="L21" s="4"/>
      <c r="M21" s="4"/>
      <c r="N21" s="2"/>
    </row>
    <row r="22" spans="1:14" x14ac:dyDescent="0.3">
      <c r="A22" s="2" t="s">
        <v>3</v>
      </c>
      <c r="B22" s="4"/>
      <c r="C22" s="4"/>
      <c r="D22" s="2"/>
      <c r="F22" s="2" t="s">
        <v>6</v>
      </c>
      <c r="G22" s="4"/>
      <c r="H22" s="4"/>
      <c r="I22" s="2"/>
      <c r="K22" s="2" t="s">
        <v>7</v>
      </c>
      <c r="L22" s="4"/>
      <c r="M22" s="4"/>
      <c r="N22" s="2"/>
    </row>
    <row r="23" spans="1:14" x14ac:dyDescent="0.3">
      <c r="A23" s="1" t="s">
        <v>19</v>
      </c>
      <c r="B23" s="4" t="s">
        <v>4</v>
      </c>
      <c r="C23" s="4" t="s">
        <v>16</v>
      </c>
      <c r="D23" s="2" t="s">
        <v>5</v>
      </c>
      <c r="F23" s="1" t="s">
        <v>19</v>
      </c>
      <c r="G23" s="4" t="s">
        <v>4</v>
      </c>
      <c r="H23" s="4" t="s">
        <v>16</v>
      </c>
      <c r="I23" s="2" t="s">
        <v>5</v>
      </c>
      <c r="K23" s="1" t="s">
        <v>19</v>
      </c>
      <c r="L23" s="4" t="s">
        <v>4</v>
      </c>
      <c r="M23" s="4" t="s">
        <v>16</v>
      </c>
      <c r="N23" s="2" t="s">
        <v>5</v>
      </c>
    </row>
    <row r="24" spans="1:14" x14ac:dyDescent="0.3">
      <c r="A24" s="1">
        <v>0.01</v>
      </c>
      <c r="C24" s="3"/>
      <c r="D24" s="2" t="e">
        <f t="shared" ref="D24:D26" si="4">((B24-C24)/C24)*100</f>
        <v>#DIV/0!</v>
      </c>
      <c r="F24" s="1">
        <v>0.01</v>
      </c>
      <c r="H24" s="3"/>
      <c r="I24" s="2" t="e">
        <f>((G24-H24)/H24)*100</f>
        <v>#DIV/0!</v>
      </c>
      <c r="K24" s="1">
        <v>0.01</v>
      </c>
      <c r="M24" s="3"/>
      <c r="N24" s="2" t="e">
        <f t="shared" ref="N24:N26" si="5">((L24-M24)/M24)*100</f>
        <v>#DIV/0!</v>
      </c>
    </row>
    <row r="25" spans="1:14" x14ac:dyDescent="0.3">
      <c r="A25" s="1">
        <v>0.1</v>
      </c>
      <c r="C25" s="3"/>
      <c r="D25" s="2" t="e">
        <f t="shared" si="4"/>
        <v>#DIV/0!</v>
      </c>
      <c r="F25" s="1">
        <v>0.1</v>
      </c>
      <c r="H25" s="3"/>
      <c r="I25" s="2" t="e">
        <f>((G25-H25)/H25)*100</f>
        <v>#DIV/0!</v>
      </c>
      <c r="K25" s="1">
        <v>0.1</v>
      </c>
      <c r="M25" s="3"/>
      <c r="N25" s="2" t="e">
        <f t="shared" si="5"/>
        <v>#DIV/0!</v>
      </c>
    </row>
    <row r="26" spans="1:14" x14ac:dyDescent="0.3">
      <c r="A26" s="1">
        <v>1</v>
      </c>
      <c r="C26" s="3"/>
      <c r="D26" s="2" t="e">
        <f t="shared" si="4"/>
        <v>#DIV/0!</v>
      </c>
      <c r="F26" s="1">
        <v>1</v>
      </c>
      <c r="H26" s="3"/>
      <c r="I26" s="2" t="e">
        <f>((G26-H26)/H26)*100</f>
        <v>#DIV/0!</v>
      </c>
      <c r="K26" s="1">
        <v>1</v>
      </c>
      <c r="M26" s="3"/>
      <c r="N26" s="2" t="e">
        <f t="shared" si="5"/>
        <v>#DIV/0!</v>
      </c>
    </row>
    <row r="27" spans="1:14" x14ac:dyDescent="0.3">
      <c r="A27" s="1">
        <v>10</v>
      </c>
      <c r="C27" s="3"/>
      <c r="D27" s="2" t="e">
        <f>((B27-C27)/C27)*100</f>
        <v>#DIV/0!</v>
      </c>
      <c r="F27" s="1">
        <v>10</v>
      </c>
      <c r="H27" s="3"/>
      <c r="I27" s="2" t="e">
        <f>((G27-H27)/H27)*100</f>
        <v>#DIV/0!</v>
      </c>
      <c r="K27" s="1">
        <v>10</v>
      </c>
      <c r="M27" s="3"/>
      <c r="N27" s="2" t="e">
        <f>((L27-M27)/M27)*100</f>
        <v>#DIV/0!</v>
      </c>
    </row>
    <row r="28" spans="1:14" x14ac:dyDescent="0.3">
      <c r="B28" s="4"/>
      <c r="C28" s="4"/>
      <c r="D28" s="2"/>
      <c r="G28" s="4"/>
      <c r="H28" s="4"/>
      <c r="L28" s="4"/>
      <c r="M28" s="4"/>
      <c r="N28" s="6"/>
    </row>
    <row r="29" spans="1:14" x14ac:dyDescent="0.3">
      <c r="A29" s="2" t="s">
        <v>11</v>
      </c>
      <c r="B29" s="4"/>
      <c r="C29" s="4"/>
      <c r="D29" s="2"/>
      <c r="F29" s="2" t="s">
        <v>11</v>
      </c>
      <c r="G29" s="4"/>
      <c r="H29" s="4"/>
      <c r="I29" s="1"/>
      <c r="K29" s="2" t="s">
        <v>11</v>
      </c>
      <c r="L29" s="4"/>
      <c r="M29" s="4"/>
      <c r="N29" s="2"/>
    </row>
    <row r="30" spans="1:14" x14ac:dyDescent="0.3">
      <c r="A30" s="2" t="s">
        <v>8</v>
      </c>
      <c r="B30" s="4"/>
      <c r="C30" s="4"/>
      <c r="D30" s="2"/>
      <c r="F30" s="2" t="s">
        <v>9</v>
      </c>
      <c r="G30" s="4"/>
      <c r="H30" s="4"/>
      <c r="I30" s="1"/>
      <c r="K30" s="2" t="s">
        <v>10</v>
      </c>
      <c r="L30" s="4"/>
      <c r="M30" s="4"/>
      <c r="N30" s="2"/>
    </row>
    <row r="31" spans="1:14" x14ac:dyDescent="0.3">
      <c r="A31" s="1" t="s">
        <v>19</v>
      </c>
      <c r="B31" s="4" t="s">
        <v>4</v>
      </c>
      <c r="C31" s="4" t="s">
        <v>15</v>
      </c>
      <c r="D31" s="2" t="s">
        <v>5</v>
      </c>
      <c r="F31" s="1" t="s">
        <v>19</v>
      </c>
      <c r="G31" s="4" t="s">
        <v>4</v>
      </c>
      <c r="H31" s="4" t="s">
        <v>15</v>
      </c>
      <c r="I31" s="2" t="s">
        <v>5</v>
      </c>
      <c r="K31" s="1" t="s">
        <v>19</v>
      </c>
      <c r="L31" s="4" t="s">
        <v>4</v>
      </c>
      <c r="M31" s="4" t="s">
        <v>15</v>
      </c>
      <c r="N31" s="2" t="s">
        <v>5</v>
      </c>
    </row>
    <row r="32" spans="1:14" x14ac:dyDescent="0.3">
      <c r="A32" s="1">
        <v>0.01</v>
      </c>
      <c r="C32" s="3"/>
      <c r="D32" s="2" t="e">
        <f t="shared" ref="D32:D34" si="6">((B32-C32)/C32)*100</f>
        <v>#DIV/0!</v>
      </c>
      <c r="F32" s="1">
        <v>0.01</v>
      </c>
      <c r="H32" s="3"/>
      <c r="I32" s="2" t="e">
        <f>((G32-H32)/H32)*100</f>
        <v>#DIV/0!</v>
      </c>
      <c r="K32" s="1">
        <v>0.01</v>
      </c>
      <c r="M32" s="3"/>
      <c r="N32" s="2" t="e">
        <f t="shared" ref="N32:N34" si="7">((L32-M32)/M32)*100</f>
        <v>#DIV/0!</v>
      </c>
    </row>
    <row r="33" spans="1:14" x14ac:dyDescent="0.3">
      <c r="A33" s="1">
        <v>0.1</v>
      </c>
      <c r="C33" s="3"/>
      <c r="D33" s="2" t="e">
        <f t="shared" si="6"/>
        <v>#DIV/0!</v>
      </c>
      <c r="F33" s="1">
        <v>0.1</v>
      </c>
      <c r="H33" s="3"/>
      <c r="I33" s="2" t="e">
        <f>((G33-H33)/H33)*100</f>
        <v>#DIV/0!</v>
      </c>
      <c r="K33" s="1">
        <v>0.1</v>
      </c>
      <c r="M33" s="3"/>
      <c r="N33" s="2" t="e">
        <f t="shared" si="7"/>
        <v>#DIV/0!</v>
      </c>
    </row>
    <row r="34" spans="1:14" x14ac:dyDescent="0.3">
      <c r="A34" s="1">
        <v>1</v>
      </c>
      <c r="C34" s="3"/>
      <c r="D34" s="2" t="e">
        <f t="shared" si="6"/>
        <v>#DIV/0!</v>
      </c>
      <c r="F34" s="1">
        <v>1</v>
      </c>
      <c r="H34" s="3"/>
      <c r="I34" s="2" t="e">
        <f>((G34-H34)/H34)*100</f>
        <v>#DIV/0!</v>
      </c>
      <c r="K34" s="1">
        <v>1</v>
      </c>
      <c r="M34" s="3"/>
      <c r="N34" s="2" t="e">
        <f t="shared" si="7"/>
        <v>#DIV/0!</v>
      </c>
    </row>
    <row r="35" spans="1:14" x14ac:dyDescent="0.3">
      <c r="A35" s="1">
        <v>10</v>
      </c>
      <c r="C35" s="3"/>
      <c r="D35" s="2" t="e">
        <f>((B35-C35)/C35)*100</f>
        <v>#DIV/0!</v>
      </c>
      <c r="F35" s="1">
        <v>10</v>
      </c>
      <c r="H35" s="3"/>
      <c r="I35" s="2" t="e">
        <f>((G35-H35)/H35)*100</f>
        <v>#DIV/0!</v>
      </c>
      <c r="K35" s="1">
        <v>10</v>
      </c>
      <c r="M35" s="3"/>
      <c r="N35" s="2" t="e">
        <f>((L35-M35)/M35)*100</f>
        <v>#DIV/0!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D87-97D2-4761-95CF-57BC333209B1}">
  <dimension ref="A1:N35"/>
  <sheetViews>
    <sheetView tabSelected="1" zoomScale="106" workbookViewId="0">
      <selection activeCell="G17" sqref="G17"/>
    </sheetView>
  </sheetViews>
  <sheetFormatPr defaultRowHeight="14.4" x14ac:dyDescent="0.3"/>
  <cols>
    <col min="1" max="1" width="27" bestFit="1" customWidth="1"/>
    <col min="2" max="3" width="12" style="5" bestFit="1" customWidth="1"/>
    <col min="4" max="4" width="8.88671875" style="10"/>
    <col min="6" max="6" width="17.5546875" bestFit="1" customWidth="1"/>
    <col min="7" max="8" width="12" style="5" bestFit="1" customWidth="1"/>
    <col min="9" max="9" width="8.88671875" style="10"/>
    <col min="11" max="11" width="17.5546875" bestFit="1" customWidth="1"/>
    <col min="12" max="13" width="12" style="5" bestFit="1" customWidth="1"/>
    <col min="14" max="14" width="9" style="10" customWidth="1"/>
  </cols>
  <sheetData>
    <row r="1" spans="1:14" x14ac:dyDescent="0.3">
      <c r="A1" s="1" t="s">
        <v>0</v>
      </c>
      <c r="B1" s="4"/>
      <c r="C1" s="4"/>
      <c r="G1" s="4"/>
      <c r="H1" s="4"/>
      <c r="L1" s="4"/>
      <c r="M1" s="4"/>
    </row>
    <row r="2" spans="1:14" x14ac:dyDescent="0.3">
      <c r="A2" s="2" t="s">
        <v>17</v>
      </c>
      <c r="B2" s="4"/>
      <c r="C2" s="4"/>
      <c r="G2" s="4"/>
      <c r="H2" s="4"/>
      <c r="L2" s="4"/>
      <c r="M2" s="4"/>
    </row>
    <row r="3" spans="1:14" x14ac:dyDescent="0.3">
      <c r="A3" s="1"/>
      <c r="B3" s="4"/>
      <c r="C3" s="4"/>
      <c r="G3" s="4"/>
      <c r="H3" s="4"/>
      <c r="L3" s="4"/>
      <c r="M3" s="4"/>
    </row>
    <row r="4" spans="1:14" x14ac:dyDescent="0.3">
      <c r="A4" s="2" t="s">
        <v>12</v>
      </c>
      <c r="B4" s="4"/>
      <c r="C4" s="4"/>
      <c r="G4" s="4"/>
      <c r="H4" s="4"/>
      <c r="L4" s="4"/>
      <c r="M4" s="4"/>
    </row>
    <row r="5" spans="1:14" x14ac:dyDescent="0.3">
      <c r="A5" s="2" t="s">
        <v>2</v>
      </c>
      <c r="B5" s="4"/>
      <c r="C5" s="4"/>
      <c r="F5" s="2" t="s">
        <v>2</v>
      </c>
      <c r="G5" s="4"/>
      <c r="H5" s="4"/>
      <c r="K5" s="2" t="s">
        <v>2</v>
      </c>
      <c r="L5" s="4"/>
      <c r="M5" s="4"/>
    </row>
    <row r="6" spans="1:14" x14ac:dyDescent="0.3">
      <c r="A6" s="2" t="s">
        <v>18</v>
      </c>
      <c r="B6" s="4"/>
      <c r="C6" s="4"/>
      <c r="F6" s="2" t="s">
        <v>6</v>
      </c>
      <c r="G6" s="4"/>
      <c r="H6" s="4"/>
      <c r="K6" s="2" t="s">
        <v>7</v>
      </c>
      <c r="L6" s="4"/>
      <c r="M6" s="4"/>
    </row>
    <row r="7" spans="1:14" x14ac:dyDescent="0.3">
      <c r="A7" s="1" t="s">
        <v>19</v>
      </c>
      <c r="B7" s="4" t="s">
        <v>4</v>
      </c>
      <c r="C7" s="4" t="s">
        <v>16</v>
      </c>
      <c r="D7" s="10" t="s">
        <v>5</v>
      </c>
      <c r="F7" s="1" t="s">
        <v>19</v>
      </c>
      <c r="G7" s="4" t="s">
        <v>4</v>
      </c>
      <c r="H7" s="4" t="s">
        <v>16</v>
      </c>
      <c r="I7" s="10" t="s">
        <v>5</v>
      </c>
      <c r="K7" s="1" t="s">
        <v>19</v>
      </c>
      <c r="L7" s="4" t="s">
        <v>4</v>
      </c>
      <c r="M7" s="4" t="s">
        <v>16</v>
      </c>
      <c r="N7" s="10" t="s">
        <v>5</v>
      </c>
    </row>
    <row r="8" spans="1:14" x14ac:dyDescent="0.3">
      <c r="A8" s="1">
        <v>0.01</v>
      </c>
      <c r="B8">
        <v>0.42372260891431901</v>
      </c>
      <c r="C8" s="7">
        <v>0.42241819350454801</v>
      </c>
      <c r="D8" s="9">
        <f>((B8-C8)/C8)*100</f>
        <v>0.30879716589596984</v>
      </c>
      <c r="F8" s="1">
        <v>0.01</v>
      </c>
      <c r="G8" s="5">
        <v>5.5409698591035702E-9</v>
      </c>
      <c r="H8" s="7">
        <v>0</v>
      </c>
      <c r="I8" s="9">
        <f>IFERROR((((G8-H8)/H8)*100), 0)</f>
        <v>0</v>
      </c>
      <c r="K8" s="1">
        <v>0.01</v>
      </c>
      <c r="L8" s="5">
        <v>1.9679577032950799E-7</v>
      </c>
      <c r="M8" s="7">
        <v>1.6716285892174799E-7</v>
      </c>
      <c r="N8" s="9">
        <f>((L8-M8)/M8)*100</f>
        <v>17.726970930565212</v>
      </c>
    </row>
    <row r="9" spans="1:14" x14ac:dyDescent="0.3">
      <c r="A9" s="1">
        <v>0.1</v>
      </c>
      <c r="B9">
        <v>0.42331692505511898</v>
      </c>
      <c r="C9" s="7">
        <v>0.42241819350454801</v>
      </c>
      <c r="D9" s="9">
        <f>((B9-C9)/C9)*100</f>
        <v>0.21275872213616845</v>
      </c>
      <c r="F9" s="1">
        <v>0.1</v>
      </c>
      <c r="G9" s="5">
        <v>1.57594152711519E-5</v>
      </c>
      <c r="H9" s="7">
        <v>1.47307226435298E-5</v>
      </c>
      <c r="I9" s="9">
        <f t="shared" ref="I9:I10" si="0">((G9-H9)/H9)*100</f>
        <v>6.9833140743705115</v>
      </c>
      <c r="K9" s="1">
        <v>0.1</v>
      </c>
      <c r="L9" s="5">
        <v>8.9061667034339594E-5</v>
      </c>
      <c r="M9" s="7">
        <v>8.4259667607641296E-5</v>
      </c>
      <c r="N9" s="9">
        <f t="shared" ref="N9:N10" si="1">((L9-M9)/M9)*100</f>
        <v>5.6990486231906488</v>
      </c>
    </row>
    <row r="10" spans="1:14" x14ac:dyDescent="0.3">
      <c r="A10" s="1">
        <v>1</v>
      </c>
      <c r="B10">
        <v>0.41294050565965301</v>
      </c>
      <c r="C10" s="7">
        <v>0.40914873439486099</v>
      </c>
      <c r="D10" s="9">
        <f>((B10-C10)/C10)*100</f>
        <v>0.92674642398689677</v>
      </c>
      <c r="F10" s="1">
        <v>1</v>
      </c>
      <c r="G10">
        <v>1.0608989126953999E-3</v>
      </c>
      <c r="H10" s="7">
        <v>1.2401035352988901E-3</v>
      </c>
      <c r="I10" s="9">
        <f t="shared" si="0"/>
        <v>-14.450779108560333</v>
      </c>
      <c r="K10" s="1">
        <v>1</v>
      </c>
      <c r="L10">
        <v>3.4457576598166E-3</v>
      </c>
      <c r="M10" s="7">
        <v>3.3800670771468601E-3</v>
      </c>
      <c r="N10" s="9">
        <f t="shared" si="1"/>
        <v>1.9434697942500543</v>
      </c>
    </row>
    <row r="11" spans="1:14" x14ac:dyDescent="0.3">
      <c r="A11" s="1">
        <v>10</v>
      </c>
      <c r="B11">
        <v>0.30720564983600301</v>
      </c>
      <c r="C11" s="7">
        <v>0.30559658326523498</v>
      </c>
      <c r="D11" s="9">
        <f>((B11-C11)/C11)*100</f>
        <v>0.52653290608667791</v>
      </c>
      <c r="F11" s="1">
        <v>10</v>
      </c>
      <c r="G11">
        <v>1.1236656773438901E-2</v>
      </c>
      <c r="H11" s="7">
        <v>1.0898914150641601E-2</v>
      </c>
      <c r="I11" s="9">
        <f>((G11-H11)/H11)*100</f>
        <v>3.0988648789147288</v>
      </c>
      <c r="K11" s="1">
        <v>10</v>
      </c>
      <c r="L11">
        <v>2.1406111759811001E-2</v>
      </c>
      <c r="M11" s="7">
        <v>2.14081263497687E-2</v>
      </c>
      <c r="N11" s="9">
        <f>((L11-M11)/M11)*100</f>
        <v>-9.4103982982173227E-3</v>
      </c>
    </row>
    <row r="12" spans="1:14" x14ac:dyDescent="0.3">
      <c r="B12" s="4"/>
      <c r="C12" s="11"/>
      <c r="D12" s="9"/>
      <c r="G12" s="4"/>
      <c r="H12" s="11"/>
      <c r="I12" s="9"/>
      <c r="L12" s="4"/>
      <c r="M12" s="11"/>
      <c r="N12" s="9"/>
    </row>
    <row r="13" spans="1:14" x14ac:dyDescent="0.3">
      <c r="A13" s="2" t="s">
        <v>2</v>
      </c>
      <c r="B13" s="4"/>
      <c r="C13" s="11"/>
      <c r="D13" s="9"/>
      <c r="F13" s="2" t="s">
        <v>2</v>
      </c>
      <c r="G13" s="4"/>
      <c r="H13" s="11"/>
      <c r="I13" s="9"/>
      <c r="K13" s="2" t="s">
        <v>2</v>
      </c>
      <c r="L13" s="4"/>
      <c r="M13" s="11"/>
      <c r="N13" s="9"/>
    </row>
    <row r="14" spans="1:14" x14ac:dyDescent="0.3">
      <c r="A14" s="2" t="s">
        <v>20</v>
      </c>
      <c r="B14" s="4"/>
      <c r="C14" s="11"/>
      <c r="D14" s="9"/>
      <c r="F14" s="2" t="s">
        <v>21</v>
      </c>
      <c r="G14" s="4"/>
      <c r="H14" s="11"/>
      <c r="I14" s="9"/>
      <c r="K14" s="2" t="s">
        <v>3</v>
      </c>
      <c r="L14" s="4"/>
      <c r="M14" s="11"/>
      <c r="N14" s="9"/>
    </row>
    <row r="15" spans="1:14" x14ac:dyDescent="0.3">
      <c r="A15" s="1" t="s">
        <v>19</v>
      </c>
      <c r="B15" s="4" t="s">
        <v>4</v>
      </c>
      <c r="C15" s="11" t="s">
        <v>16</v>
      </c>
      <c r="D15" s="9" t="s">
        <v>5</v>
      </c>
      <c r="F15" s="1" t="s">
        <v>19</v>
      </c>
      <c r="G15" s="4" t="s">
        <v>4</v>
      </c>
      <c r="H15" s="11" t="s">
        <v>16</v>
      </c>
      <c r="I15" s="9" t="s">
        <v>5</v>
      </c>
      <c r="K15" s="1" t="s">
        <v>19</v>
      </c>
      <c r="L15" s="4" t="s">
        <v>4</v>
      </c>
      <c r="M15" s="11" t="s">
        <v>16</v>
      </c>
      <c r="N15" s="9" t="s">
        <v>5</v>
      </c>
    </row>
    <row r="16" spans="1:14" x14ac:dyDescent="0.3">
      <c r="A16" s="1">
        <v>0.01</v>
      </c>
      <c r="B16" s="5">
        <v>1.95535987611188E-7</v>
      </c>
      <c r="C16" s="7">
        <v>1.6302151350209601E-7</v>
      </c>
      <c r="D16" s="9">
        <f>((B16-C16)/C16)*100</f>
        <v>19.944897707426783</v>
      </c>
      <c r="F16" s="1">
        <v>0.01</v>
      </c>
      <c r="G16" s="5">
        <v>1.13451111658149E-5</v>
      </c>
      <c r="H16" s="7">
        <v>1.1500822414335301E-5</v>
      </c>
      <c r="I16" s="9">
        <f>IFERROR((((G16-H16)/H16)*100), 0)</f>
        <v>-1.3539140324983499</v>
      </c>
      <c r="K16" s="1">
        <v>0.01</v>
      </c>
      <c r="L16">
        <v>0</v>
      </c>
      <c r="M16" s="7">
        <v>0</v>
      </c>
      <c r="N16" s="9">
        <f>IFERROR((((L16-M16)/M16)*100), 0)</f>
        <v>0</v>
      </c>
    </row>
    <row r="17" spans="1:14" x14ac:dyDescent="0.3">
      <c r="A17" s="1">
        <v>0.1</v>
      </c>
      <c r="B17">
        <v>1.2518301803299999E-4</v>
      </c>
      <c r="C17" s="7">
        <v>1.21818783714023E-4</v>
      </c>
      <c r="D17" s="9">
        <f>((B17-C17)/C17)*100</f>
        <v>2.7616712434715569</v>
      </c>
      <c r="F17" s="1">
        <v>0.1</v>
      </c>
      <c r="G17">
        <v>3.6272154958916E-3</v>
      </c>
      <c r="H17" s="7">
        <v>3.65386860959693E-3</v>
      </c>
      <c r="I17" s="9">
        <f t="shared" ref="I17:I18" si="2">((G17-H17)/H17)*100</f>
        <v>-0.72944915521388287</v>
      </c>
      <c r="K17" s="1">
        <v>0.1</v>
      </c>
      <c r="L17" s="5">
        <v>2.6073242253567098E-6</v>
      </c>
      <c r="M17" s="7">
        <v>2.4901555284303702E-6</v>
      </c>
      <c r="N17" s="9">
        <f t="shared" ref="N17:N18" si="3">((L17-M17)/M17)*100</f>
        <v>4.7052762604027016</v>
      </c>
    </row>
    <row r="18" spans="1:14" x14ac:dyDescent="0.3">
      <c r="A18" s="1">
        <v>1</v>
      </c>
      <c r="B18">
        <v>6.3193059066653998E-3</v>
      </c>
      <c r="C18" s="7">
        <v>6.4292950761299103E-3</v>
      </c>
      <c r="D18" s="9">
        <f>((B18-C18)/C18)*100</f>
        <v>-1.7107500614315891</v>
      </c>
      <c r="F18" s="1">
        <v>1</v>
      </c>
      <c r="G18">
        <v>8.7091549482682495E-2</v>
      </c>
      <c r="H18" s="7">
        <v>8.6950272629167893E-2</v>
      </c>
      <c r="I18" s="9">
        <f t="shared" si="2"/>
        <v>0.16248005813291716</v>
      </c>
      <c r="K18" s="1">
        <v>1</v>
      </c>
      <c r="L18" s="5">
        <v>3.96341595821806E-5</v>
      </c>
      <c r="M18" s="7">
        <v>4.3803571190412298E-5</v>
      </c>
      <c r="N18" s="9">
        <f t="shared" si="3"/>
        <v>-9.5184285091903558</v>
      </c>
    </row>
    <row r="19" spans="1:14" x14ac:dyDescent="0.3">
      <c r="A19" s="1">
        <v>10</v>
      </c>
      <c r="B19">
        <v>4.4409497780318399E-2</v>
      </c>
      <c r="C19" s="7">
        <v>4.4563538474702701E-2</v>
      </c>
      <c r="D19" s="9">
        <f>((B19-C19)/C19)*100</f>
        <v>-0.3456653121738642</v>
      </c>
      <c r="F19" s="1">
        <v>10</v>
      </c>
      <c r="G19">
        <v>0.196730967616907</v>
      </c>
      <c r="H19" s="7">
        <v>0.19749064066963301</v>
      </c>
      <c r="I19" s="9">
        <f>((G19-H19)/H19)*100</f>
        <v>-0.38466281245034056</v>
      </c>
      <c r="K19" s="1">
        <v>10</v>
      </c>
      <c r="L19">
        <v>5.6653564139913003E-3</v>
      </c>
      <c r="M19" s="7">
        <v>5.5626656380969603E-3</v>
      </c>
      <c r="N19" s="9">
        <f>((L19-M19)/M19)*100</f>
        <v>1.8460713365736552</v>
      </c>
    </row>
    <row r="20" spans="1:14" x14ac:dyDescent="0.3">
      <c r="D20" s="9"/>
      <c r="I20" s="9"/>
      <c r="N20" s="9"/>
    </row>
    <row r="21" spans="1:14" x14ac:dyDescent="0.3">
      <c r="A21" s="2" t="s">
        <v>11</v>
      </c>
      <c r="B21" s="4"/>
      <c r="C21" s="4"/>
      <c r="D21" s="9"/>
      <c r="F21" s="2" t="s">
        <v>11</v>
      </c>
      <c r="G21" s="4"/>
      <c r="H21" s="4"/>
      <c r="I21" s="9"/>
      <c r="K21" s="2" t="s">
        <v>11</v>
      </c>
      <c r="L21" s="4"/>
      <c r="M21" s="4"/>
      <c r="N21" s="9"/>
    </row>
    <row r="22" spans="1:14" x14ac:dyDescent="0.3">
      <c r="A22" s="2" t="s">
        <v>18</v>
      </c>
      <c r="B22" s="4"/>
      <c r="C22" s="4"/>
      <c r="F22" s="2" t="s">
        <v>6</v>
      </c>
      <c r="G22" s="4"/>
      <c r="H22" s="4"/>
      <c r="K22" s="2" t="s">
        <v>7</v>
      </c>
      <c r="L22" s="4"/>
      <c r="M22" s="4"/>
      <c r="N22" s="9"/>
    </row>
    <row r="23" spans="1:14" x14ac:dyDescent="0.3">
      <c r="A23" s="1" t="s">
        <v>19</v>
      </c>
      <c r="B23" s="4" t="s">
        <v>4</v>
      </c>
      <c r="C23" s="4" t="s">
        <v>16</v>
      </c>
      <c r="D23" s="9" t="s">
        <v>5</v>
      </c>
      <c r="F23" s="1" t="s">
        <v>19</v>
      </c>
      <c r="G23" s="4" t="s">
        <v>4</v>
      </c>
      <c r="H23" s="4" t="s">
        <v>16</v>
      </c>
      <c r="I23" s="9" t="s">
        <v>5</v>
      </c>
      <c r="K23" s="1" t="s">
        <v>19</v>
      </c>
      <c r="L23" s="4" t="s">
        <v>4</v>
      </c>
      <c r="M23" s="4" t="s">
        <v>16</v>
      </c>
      <c r="N23" s="9" t="s">
        <v>5</v>
      </c>
    </row>
    <row r="24" spans="1:14" x14ac:dyDescent="0.3">
      <c r="A24" s="1">
        <v>0.01</v>
      </c>
      <c r="C24" s="3"/>
      <c r="D24" s="9" t="e">
        <f>((B24-C24)/C24)*100</f>
        <v>#DIV/0!</v>
      </c>
      <c r="F24" s="1">
        <v>0.01</v>
      </c>
      <c r="H24" s="3"/>
      <c r="I24" s="9" t="e">
        <f t="shared" ref="I24:I26" si="4">((G24-H24)/H24)*100</f>
        <v>#DIV/0!</v>
      </c>
      <c r="K24" s="1">
        <v>0.01</v>
      </c>
      <c r="M24" s="3"/>
      <c r="N24" s="9" t="e">
        <f t="shared" ref="N24:N26" si="5">((L24-M24)/M24)*100</f>
        <v>#DIV/0!</v>
      </c>
    </row>
    <row r="25" spans="1:14" x14ac:dyDescent="0.3">
      <c r="A25" s="1">
        <v>0.1</v>
      </c>
      <c r="C25" s="3"/>
      <c r="D25" s="9" t="e">
        <f>((B25-C25)/C25)*100</f>
        <v>#DIV/0!</v>
      </c>
      <c r="F25" s="1">
        <v>0.1</v>
      </c>
      <c r="H25" s="3"/>
      <c r="I25" s="9" t="e">
        <f t="shared" si="4"/>
        <v>#DIV/0!</v>
      </c>
      <c r="K25" s="1">
        <v>0.1</v>
      </c>
      <c r="M25" s="3"/>
      <c r="N25" s="9" t="e">
        <f t="shared" si="5"/>
        <v>#DIV/0!</v>
      </c>
    </row>
    <row r="26" spans="1:14" x14ac:dyDescent="0.3">
      <c r="A26" s="1">
        <v>1</v>
      </c>
      <c r="C26" s="3"/>
      <c r="D26" s="9" t="e">
        <f>((B26-C26)/C26)*100</f>
        <v>#DIV/0!</v>
      </c>
      <c r="F26" s="1">
        <v>1</v>
      </c>
      <c r="H26" s="3"/>
      <c r="I26" s="9" t="e">
        <f t="shared" si="4"/>
        <v>#DIV/0!</v>
      </c>
      <c r="K26" s="1">
        <v>1</v>
      </c>
      <c r="M26" s="3"/>
      <c r="N26" s="9" t="e">
        <f t="shared" si="5"/>
        <v>#DIV/0!</v>
      </c>
    </row>
    <row r="27" spans="1:14" x14ac:dyDescent="0.3">
      <c r="A27" s="1">
        <v>10</v>
      </c>
      <c r="C27" s="3"/>
      <c r="D27" s="9" t="e">
        <f>((B27-C27)/C27)*100</f>
        <v>#DIV/0!</v>
      </c>
      <c r="F27" s="1">
        <v>10</v>
      </c>
      <c r="H27" s="3"/>
      <c r="I27" s="9" t="e">
        <f>((G27-H27)/H27)*100</f>
        <v>#DIV/0!</v>
      </c>
      <c r="K27" s="1">
        <v>10</v>
      </c>
      <c r="M27" s="3"/>
      <c r="N27" s="9" t="e">
        <f>((L27-M27)/M27)*100</f>
        <v>#DIV/0!</v>
      </c>
    </row>
    <row r="28" spans="1:14" x14ac:dyDescent="0.3">
      <c r="B28" s="4"/>
      <c r="C28" s="4"/>
      <c r="D28" s="9"/>
      <c r="G28" s="4"/>
      <c r="H28" s="4"/>
      <c r="I28" s="9"/>
      <c r="L28" s="4"/>
      <c r="M28" s="4"/>
      <c r="N28" s="9"/>
    </row>
    <row r="29" spans="1:14" x14ac:dyDescent="0.3">
      <c r="A29" s="2" t="s">
        <v>11</v>
      </c>
      <c r="B29" s="4"/>
      <c r="C29" s="4"/>
      <c r="D29" s="9"/>
      <c r="F29" s="2" t="s">
        <v>11</v>
      </c>
      <c r="G29" s="4"/>
      <c r="H29" s="4"/>
      <c r="I29" s="9"/>
      <c r="K29" s="2" t="s">
        <v>11</v>
      </c>
      <c r="L29" s="4"/>
      <c r="M29" s="4"/>
      <c r="N29" s="9"/>
    </row>
    <row r="30" spans="1:14" x14ac:dyDescent="0.3">
      <c r="A30" s="2" t="s">
        <v>20</v>
      </c>
      <c r="B30" s="4"/>
      <c r="C30" s="4"/>
      <c r="D30" s="9"/>
      <c r="F30" s="2" t="s">
        <v>21</v>
      </c>
      <c r="G30" s="4"/>
      <c r="H30" s="4"/>
      <c r="I30" s="9"/>
      <c r="K30" s="2" t="s">
        <v>3</v>
      </c>
      <c r="L30" s="4"/>
      <c r="M30" s="4"/>
      <c r="N30" s="9"/>
    </row>
    <row r="31" spans="1:14" x14ac:dyDescent="0.3">
      <c r="A31" s="1" t="s">
        <v>19</v>
      </c>
      <c r="B31" s="4" t="s">
        <v>4</v>
      </c>
      <c r="C31" s="4" t="s">
        <v>15</v>
      </c>
      <c r="D31" s="9" t="s">
        <v>5</v>
      </c>
      <c r="F31" s="1" t="s">
        <v>19</v>
      </c>
      <c r="G31" s="4" t="s">
        <v>4</v>
      </c>
      <c r="H31" s="4" t="s">
        <v>15</v>
      </c>
      <c r="I31" s="9" t="s">
        <v>5</v>
      </c>
      <c r="K31" s="1" t="s">
        <v>19</v>
      </c>
      <c r="L31" s="4" t="s">
        <v>4</v>
      </c>
      <c r="M31" s="4" t="s">
        <v>15</v>
      </c>
      <c r="N31" s="9" t="s">
        <v>5</v>
      </c>
    </row>
    <row r="32" spans="1:14" x14ac:dyDescent="0.3">
      <c r="A32" s="1">
        <v>0.01</v>
      </c>
      <c r="C32" s="3"/>
      <c r="D32" s="9" t="e">
        <f>((B32-C32)/C32)*100</f>
        <v>#DIV/0!</v>
      </c>
      <c r="F32" s="1">
        <v>0.01</v>
      </c>
      <c r="H32" s="3"/>
      <c r="I32" s="9">
        <f>IFERROR((((G32-H32)/H32)*100), 0)</f>
        <v>0</v>
      </c>
      <c r="K32" s="1">
        <v>0.01</v>
      </c>
      <c r="M32" s="3"/>
      <c r="N32" s="9" t="e">
        <f t="shared" ref="N32:N34" si="6">((L32-M32)/M32)*100</f>
        <v>#DIV/0!</v>
      </c>
    </row>
    <row r="33" spans="1:14" x14ac:dyDescent="0.3">
      <c r="A33" s="1">
        <v>0.1</v>
      </c>
      <c r="C33" s="3"/>
      <c r="D33" s="9" t="e">
        <f>((B33-C33)/C33)*100</f>
        <v>#DIV/0!</v>
      </c>
      <c r="F33" s="1">
        <v>0.1</v>
      </c>
      <c r="H33" s="3"/>
      <c r="I33" s="9" t="e">
        <f t="shared" ref="I33:I34" si="7">((G33-H33)/H33)*100</f>
        <v>#DIV/0!</v>
      </c>
      <c r="K33" s="1">
        <v>0.1</v>
      </c>
      <c r="M33" s="3"/>
      <c r="N33" s="9" t="e">
        <f t="shared" si="6"/>
        <v>#DIV/0!</v>
      </c>
    </row>
    <row r="34" spans="1:14" x14ac:dyDescent="0.3">
      <c r="A34" s="1">
        <v>1</v>
      </c>
      <c r="C34" s="3"/>
      <c r="D34" s="9" t="e">
        <f>((B34-C34)/C34)*100</f>
        <v>#DIV/0!</v>
      </c>
      <c r="F34" s="1">
        <v>1</v>
      </c>
      <c r="H34" s="3"/>
      <c r="I34" s="9" t="e">
        <f t="shared" si="7"/>
        <v>#DIV/0!</v>
      </c>
      <c r="K34" s="1">
        <v>1</v>
      </c>
      <c r="M34" s="3"/>
      <c r="N34" s="9" t="e">
        <f t="shared" si="6"/>
        <v>#DIV/0!</v>
      </c>
    </row>
    <row r="35" spans="1:14" x14ac:dyDescent="0.3">
      <c r="A35" s="1">
        <v>10</v>
      </c>
      <c r="C35" s="3"/>
      <c r="D35" s="9" t="e">
        <f>((B35-C35)/C35)*100</f>
        <v>#DIV/0!</v>
      </c>
      <c r="F35" s="1">
        <v>10</v>
      </c>
      <c r="H35" s="3"/>
      <c r="I35" s="9" t="e">
        <f>((G35-H35)/H35)*100</f>
        <v>#DIV/0!</v>
      </c>
      <c r="K35" s="1">
        <v>10</v>
      </c>
      <c r="M35" s="3"/>
      <c r="N35" s="9" t="e">
        <f>((L35-M35)/M35)*100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647-4D27-4AD0-8844-E1785AF5AA93}">
  <dimension ref="A1:N39"/>
  <sheetViews>
    <sheetView zoomScale="63" workbookViewId="0">
      <selection activeCell="A31" sqref="A31:A35"/>
    </sheetView>
  </sheetViews>
  <sheetFormatPr defaultRowHeight="14.4" x14ac:dyDescent="0.3"/>
  <cols>
    <col min="1" max="1" width="27" bestFit="1" customWidth="1"/>
    <col min="2" max="3" width="12" style="5" bestFit="1" customWidth="1"/>
    <col min="5" max="5" width="8.88671875" customWidth="1"/>
    <col min="6" max="6" width="19" bestFit="1" customWidth="1"/>
    <col min="7" max="8" width="12" style="5" bestFit="1" customWidth="1"/>
    <col min="11" max="11" width="19" bestFit="1" customWidth="1"/>
    <col min="12" max="13" width="12" style="5" bestFit="1" customWidth="1"/>
  </cols>
  <sheetData>
    <row r="1" spans="1:14" x14ac:dyDescent="0.3">
      <c r="A1" s="1" t="s">
        <v>0</v>
      </c>
      <c r="B1" s="4"/>
      <c r="C1" s="4"/>
      <c r="D1" s="1"/>
      <c r="G1" s="4"/>
      <c r="H1" s="4"/>
      <c r="L1" s="4"/>
      <c r="M1" s="4"/>
    </row>
    <row r="2" spans="1:14" s="6" customFormat="1" x14ac:dyDescent="0.3">
      <c r="A2" s="2" t="s">
        <v>17</v>
      </c>
      <c r="B2" s="4"/>
      <c r="C2" s="4"/>
      <c r="D2" s="2"/>
      <c r="G2" s="4"/>
      <c r="H2" s="4"/>
      <c r="L2" s="4"/>
      <c r="M2" s="4"/>
    </row>
    <row r="3" spans="1:14" x14ac:dyDescent="0.3">
      <c r="A3" s="1"/>
      <c r="B3" s="4"/>
      <c r="C3" s="4"/>
      <c r="D3" s="1"/>
      <c r="G3" s="4"/>
      <c r="H3" s="4"/>
      <c r="L3" s="4"/>
      <c r="M3" s="4"/>
    </row>
    <row r="4" spans="1:14" x14ac:dyDescent="0.3">
      <c r="A4" s="2" t="s">
        <v>13</v>
      </c>
      <c r="B4" s="4"/>
      <c r="C4" s="4"/>
      <c r="D4" s="1"/>
      <c r="G4" s="4"/>
      <c r="H4" s="4"/>
      <c r="L4" s="4"/>
      <c r="M4" s="4"/>
    </row>
    <row r="5" spans="1:14" x14ac:dyDescent="0.3">
      <c r="A5" s="2" t="s">
        <v>2</v>
      </c>
      <c r="B5" s="4"/>
      <c r="C5" s="4"/>
      <c r="D5" s="1"/>
      <c r="F5" s="2" t="s">
        <v>2</v>
      </c>
      <c r="G5" s="4"/>
      <c r="H5" s="4"/>
      <c r="I5" s="1"/>
      <c r="K5" s="2" t="s">
        <v>2</v>
      </c>
      <c r="L5" s="4"/>
      <c r="M5" s="4"/>
      <c r="N5" s="1"/>
    </row>
    <row r="6" spans="1:14" x14ac:dyDescent="0.3">
      <c r="A6" s="2" t="s">
        <v>3</v>
      </c>
      <c r="B6" s="4"/>
      <c r="C6" s="4"/>
      <c r="D6" s="1"/>
      <c r="F6" s="2" t="s">
        <v>6</v>
      </c>
      <c r="G6" s="4"/>
      <c r="H6" s="4"/>
      <c r="I6" s="1"/>
      <c r="K6" s="2" t="s">
        <v>7</v>
      </c>
      <c r="L6" s="4"/>
      <c r="M6" s="4"/>
      <c r="N6" s="1"/>
    </row>
    <row r="7" spans="1:14" x14ac:dyDescent="0.3">
      <c r="A7" s="1" t="s">
        <v>19</v>
      </c>
      <c r="B7" s="4" t="s">
        <v>4</v>
      </c>
      <c r="C7" s="4" t="s">
        <v>16</v>
      </c>
      <c r="D7" s="2" t="s">
        <v>5</v>
      </c>
      <c r="F7" s="1" t="s">
        <v>19</v>
      </c>
      <c r="G7" s="4" t="s">
        <v>4</v>
      </c>
      <c r="H7" s="4" t="s">
        <v>16</v>
      </c>
      <c r="I7" s="2" t="s">
        <v>5</v>
      </c>
      <c r="K7" s="1" t="s">
        <v>19</v>
      </c>
      <c r="L7" s="4" t="s">
        <v>4</v>
      </c>
      <c r="M7" s="4" t="s">
        <v>16</v>
      </c>
      <c r="N7" s="2" t="s">
        <v>5</v>
      </c>
    </row>
    <row r="8" spans="1:14" x14ac:dyDescent="0.3">
      <c r="A8" s="1">
        <v>0.01</v>
      </c>
      <c r="C8" s="8"/>
      <c r="D8" s="2" t="e">
        <f t="shared" ref="D8:D10" si="0">((B8-C8)/C8)*100</f>
        <v>#DIV/0!</v>
      </c>
      <c r="F8" s="1">
        <v>0.01</v>
      </c>
      <c r="H8" s="8"/>
      <c r="I8" s="2">
        <f>IFERROR((((G8-H8)/H8)*100), 0)</f>
        <v>0</v>
      </c>
      <c r="K8" s="1">
        <v>0.01</v>
      </c>
      <c r="M8" s="8"/>
      <c r="N8" s="2" t="e">
        <f t="shared" ref="N8:N10" si="1">((L8-M8)/M8)*100</f>
        <v>#DIV/0!</v>
      </c>
    </row>
    <row r="9" spans="1:14" x14ac:dyDescent="0.3">
      <c r="A9" s="1">
        <v>0.1</v>
      </c>
      <c r="C9" s="8"/>
      <c r="D9" s="2" t="e">
        <f t="shared" si="0"/>
        <v>#DIV/0!</v>
      </c>
      <c r="F9" s="1">
        <v>0.1</v>
      </c>
      <c r="H9" s="8"/>
      <c r="I9" s="2" t="e">
        <f t="shared" ref="I9:I10" si="2">((G9-H9)/H9)*100</f>
        <v>#DIV/0!</v>
      </c>
      <c r="K9" s="1">
        <v>0.1</v>
      </c>
      <c r="M9" s="8"/>
      <c r="N9" s="2" t="e">
        <f t="shared" si="1"/>
        <v>#DIV/0!</v>
      </c>
    </row>
    <row r="10" spans="1:14" x14ac:dyDescent="0.3">
      <c r="A10" s="1">
        <v>1</v>
      </c>
      <c r="C10" s="8"/>
      <c r="D10" s="2" t="e">
        <f t="shared" si="0"/>
        <v>#DIV/0!</v>
      </c>
      <c r="F10" s="1">
        <v>1</v>
      </c>
      <c r="H10" s="8"/>
      <c r="I10" s="2" t="e">
        <f t="shared" si="2"/>
        <v>#DIV/0!</v>
      </c>
      <c r="K10" s="1">
        <v>1</v>
      </c>
      <c r="M10" s="8"/>
      <c r="N10" s="2" t="e">
        <f t="shared" si="1"/>
        <v>#DIV/0!</v>
      </c>
    </row>
    <row r="11" spans="1:14" x14ac:dyDescent="0.3">
      <c r="A11" s="1">
        <v>10</v>
      </c>
      <c r="C11" s="8"/>
      <c r="D11" s="2" t="e">
        <f>((B11-C11)/C11)*100</f>
        <v>#DIV/0!</v>
      </c>
      <c r="F11" s="1">
        <v>10</v>
      </c>
      <c r="H11" s="8"/>
      <c r="I11" s="2" t="e">
        <f>((G11-H11)/H11)*100</f>
        <v>#DIV/0!</v>
      </c>
      <c r="K11" s="1">
        <v>10</v>
      </c>
      <c r="M11" s="8"/>
      <c r="N11" s="2" t="e">
        <f>((L11-M11)/M11)*100</f>
        <v>#DIV/0!</v>
      </c>
    </row>
    <row r="12" spans="1:14" x14ac:dyDescent="0.3">
      <c r="B12" s="4"/>
      <c r="C12" s="4"/>
      <c r="D12" s="2"/>
      <c r="G12" s="4"/>
      <c r="H12" s="4"/>
      <c r="I12" s="6"/>
      <c r="L12" s="4"/>
      <c r="M12" s="4"/>
      <c r="N12" s="6"/>
    </row>
    <row r="13" spans="1:14" x14ac:dyDescent="0.3">
      <c r="A13" s="2" t="s">
        <v>2</v>
      </c>
      <c r="B13" s="4"/>
      <c r="C13" s="4"/>
      <c r="D13" s="2"/>
      <c r="F13" s="2" t="s">
        <v>2</v>
      </c>
      <c r="G13" s="4"/>
      <c r="H13" s="4"/>
      <c r="I13" s="2"/>
      <c r="K13" s="2" t="s">
        <v>2</v>
      </c>
      <c r="L13" s="4"/>
      <c r="M13" s="4"/>
      <c r="N13" s="2"/>
    </row>
    <row r="14" spans="1:14" x14ac:dyDescent="0.3">
      <c r="A14" s="2" t="s">
        <v>8</v>
      </c>
      <c r="B14" s="4"/>
      <c r="C14" s="4"/>
      <c r="D14" s="2"/>
      <c r="F14" s="2" t="s">
        <v>9</v>
      </c>
      <c r="G14" s="4"/>
      <c r="H14" s="4"/>
      <c r="I14" s="2"/>
      <c r="K14" s="2" t="s">
        <v>10</v>
      </c>
      <c r="L14" s="4"/>
      <c r="M14" s="4"/>
      <c r="N14" s="2"/>
    </row>
    <row r="15" spans="1:14" x14ac:dyDescent="0.3">
      <c r="A15" s="1" t="s">
        <v>19</v>
      </c>
      <c r="B15" s="4" t="s">
        <v>4</v>
      </c>
      <c r="C15" s="4" t="s">
        <v>16</v>
      </c>
      <c r="D15" s="2" t="s">
        <v>5</v>
      </c>
      <c r="F15" s="1" t="s">
        <v>19</v>
      </c>
      <c r="G15" s="4" t="s">
        <v>4</v>
      </c>
      <c r="H15" s="4" t="s">
        <v>16</v>
      </c>
      <c r="I15" s="2" t="s">
        <v>5</v>
      </c>
      <c r="K15" s="1" t="s">
        <v>19</v>
      </c>
      <c r="L15" s="4" t="s">
        <v>4</v>
      </c>
      <c r="M15" s="4" t="s">
        <v>16</v>
      </c>
      <c r="N15" s="2" t="s">
        <v>5</v>
      </c>
    </row>
    <row r="16" spans="1:14" x14ac:dyDescent="0.3">
      <c r="A16" s="1">
        <v>0.01</v>
      </c>
      <c r="C16" s="7"/>
      <c r="D16" s="2" t="e">
        <f t="shared" ref="D16:D18" si="3">((B16-C16)/C16)*100</f>
        <v>#DIV/0!</v>
      </c>
      <c r="F16" s="1">
        <v>0.01</v>
      </c>
      <c r="H16" s="7"/>
      <c r="I16" s="2">
        <f>IFERROR((((G16-H16)/H16)*100), 0)</f>
        <v>0</v>
      </c>
      <c r="K16" s="1">
        <v>0.01</v>
      </c>
      <c r="M16" s="7"/>
      <c r="N16" s="2" t="e">
        <f t="shared" ref="N16:N18" si="4">((L16-M16)/M16)*100</f>
        <v>#DIV/0!</v>
      </c>
    </row>
    <row r="17" spans="1:14" x14ac:dyDescent="0.3">
      <c r="A17" s="1">
        <v>0.1</v>
      </c>
      <c r="C17" s="7"/>
      <c r="D17" s="2" t="e">
        <f t="shared" si="3"/>
        <v>#DIV/0!</v>
      </c>
      <c r="F17" s="1">
        <v>0.1</v>
      </c>
      <c r="H17" s="7"/>
      <c r="I17" s="2" t="e">
        <f t="shared" ref="I17:I18" si="5">((G17-H17)/H17)*100</f>
        <v>#DIV/0!</v>
      </c>
      <c r="K17" s="1">
        <v>0.1</v>
      </c>
      <c r="M17" s="7"/>
      <c r="N17" s="2" t="e">
        <f t="shared" si="4"/>
        <v>#DIV/0!</v>
      </c>
    </row>
    <row r="18" spans="1:14" x14ac:dyDescent="0.3">
      <c r="A18" s="1">
        <v>1</v>
      </c>
      <c r="C18" s="7"/>
      <c r="D18" s="2" t="e">
        <f t="shared" si="3"/>
        <v>#DIV/0!</v>
      </c>
      <c r="F18" s="1">
        <v>1</v>
      </c>
      <c r="H18" s="7"/>
      <c r="I18" s="2" t="e">
        <f t="shared" si="5"/>
        <v>#DIV/0!</v>
      </c>
      <c r="K18" s="1">
        <v>1</v>
      </c>
      <c r="M18" s="7"/>
      <c r="N18" s="2" t="e">
        <f t="shared" si="4"/>
        <v>#DIV/0!</v>
      </c>
    </row>
    <row r="19" spans="1:14" x14ac:dyDescent="0.3">
      <c r="A19" s="1">
        <v>10</v>
      </c>
      <c r="C19" s="7"/>
      <c r="D19" s="2" t="e">
        <f>((B19-C19)/C19)*100</f>
        <v>#DIV/0!</v>
      </c>
      <c r="F19" s="1">
        <v>10</v>
      </c>
      <c r="H19" s="7"/>
      <c r="I19" s="2" t="e">
        <f>((G19-H19)/H19)*100</f>
        <v>#DIV/0!</v>
      </c>
      <c r="K19" s="1">
        <v>10</v>
      </c>
      <c r="M19" s="7"/>
      <c r="N19" s="2" t="e">
        <f>((L19-M19)/M19)*100</f>
        <v>#DIV/0!</v>
      </c>
    </row>
    <row r="20" spans="1:14" x14ac:dyDescent="0.3">
      <c r="D20" s="6"/>
      <c r="I20" s="6"/>
      <c r="N20" s="6"/>
    </row>
    <row r="21" spans="1:14" x14ac:dyDescent="0.3">
      <c r="A21" s="2" t="s">
        <v>11</v>
      </c>
      <c r="B21" s="4"/>
      <c r="C21" s="4"/>
      <c r="D21" s="2"/>
      <c r="F21" s="2" t="s">
        <v>11</v>
      </c>
      <c r="G21" s="4"/>
      <c r="H21" s="4"/>
      <c r="I21" s="2"/>
      <c r="K21" s="2" t="s">
        <v>11</v>
      </c>
      <c r="L21" s="4"/>
      <c r="M21" s="4"/>
      <c r="N21" s="2"/>
    </row>
    <row r="22" spans="1:14" x14ac:dyDescent="0.3">
      <c r="A22" s="2" t="s">
        <v>3</v>
      </c>
      <c r="B22" s="4"/>
      <c r="C22" s="4"/>
      <c r="D22" s="2"/>
      <c r="F22" s="2" t="s">
        <v>6</v>
      </c>
      <c r="G22" s="4"/>
      <c r="H22" s="4"/>
      <c r="I22" s="2"/>
      <c r="K22" s="2" t="s">
        <v>7</v>
      </c>
      <c r="L22" s="4"/>
      <c r="M22" s="4"/>
      <c r="N22" s="2"/>
    </row>
    <row r="23" spans="1:14" x14ac:dyDescent="0.3">
      <c r="A23" s="1" t="s">
        <v>19</v>
      </c>
      <c r="B23" s="4" t="s">
        <v>4</v>
      </c>
      <c r="C23" s="4" t="s">
        <v>16</v>
      </c>
      <c r="D23" s="2" t="s">
        <v>5</v>
      </c>
      <c r="F23" s="1" t="s">
        <v>19</v>
      </c>
      <c r="G23" s="4" t="s">
        <v>4</v>
      </c>
      <c r="H23" s="4" t="s">
        <v>16</v>
      </c>
      <c r="I23" s="2" t="s">
        <v>5</v>
      </c>
      <c r="K23" s="1" t="s">
        <v>19</v>
      </c>
      <c r="L23" s="4" t="s">
        <v>4</v>
      </c>
      <c r="M23" s="4" t="s">
        <v>16</v>
      </c>
      <c r="N23" s="2" t="s">
        <v>5</v>
      </c>
    </row>
    <row r="24" spans="1:14" x14ac:dyDescent="0.3">
      <c r="A24" s="1">
        <v>0.01</v>
      </c>
      <c r="C24" s="3"/>
      <c r="D24" s="2" t="e">
        <f t="shared" ref="D24:D26" si="6">((B24-C24)/C24)*100</f>
        <v>#DIV/0!</v>
      </c>
      <c r="F24" s="1">
        <v>0.01</v>
      </c>
      <c r="H24" s="3"/>
      <c r="I24" s="2">
        <f>IFERROR((((G24-H24)/H24)*100), 0)</f>
        <v>0</v>
      </c>
      <c r="K24" s="1">
        <v>0.01</v>
      </c>
      <c r="M24" s="3"/>
      <c r="N24" s="2" t="e">
        <f t="shared" ref="N24:N26" si="7">((L24-M24)/M24)*100</f>
        <v>#DIV/0!</v>
      </c>
    </row>
    <row r="25" spans="1:14" x14ac:dyDescent="0.3">
      <c r="A25" s="1">
        <v>0.1</v>
      </c>
      <c r="C25" s="3"/>
      <c r="D25" s="2" t="e">
        <f t="shared" si="6"/>
        <v>#DIV/0!</v>
      </c>
      <c r="F25" s="1">
        <v>0.1</v>
      </c>
      <c r="H25" s="3"/>
      <c r="I25" s="2" t="e">
        <f t="shared" ref="I25:I26" si="8">((G25-H25)/H25)*100</f>
        <v>#DIV/0!</v>
      </c>
      <c r="K25" s="1">
        <v>0.1</v>
      </c>
      <c r="M25" s="3"/>
      <c r="N25" s="2" t="e">
        <f t="shared" si="7"/>
        <v>#DIV/0!</v>
      </c>
    </row>
    <row r="26" spans="1:14" x14ac:dyDescent="0.3">
      <c r="A26" s="1">
        <v>1</v>
      </c>
      <c r="C26" s="3"/>
      <c r="D26" s="2" t="e">
        <f t="shared" si="6"/>
        <v>#DIV/0!</v>
      </c>
      <c r="F26" s="1">
        <v>1</v>
      </c>
      <c r="H26" s="3"/>
      <c r="I26" s="2" t="e">
        <f t="shared" si="8"/>
        <v>#DIV/0!</v>
      </c>
      <c r="K26" s="1">
        <v>1</v>
      </c>
      <c r="M26" s="3"/>
      <c r="N26" s="2" t="e">
        <f t="shared" si="7"/>
        <v>#DIV/0!</v>
      </c>
    </row>
    <row r="27" spans="1:14" x14ac:dyDescent="0.3">
      <c r="A27" s="1">
        <v>10</v>
      </c>
      <c r="C27" s="3"/>
      <c r="D27" s="2" t="e">
        <f>((B27-C27)/C27)*100</f>
        <v>#DIV/0!</v>
      </c>
      <c r="F27" s="1">
        <v>10</v>
      </c>
      <c r="H27" s="3"/>
      <c r="I27" s="2" t="e">
        <f>((G27-H27)/H27)*100</f>
        <v>#DIV/0!</v>
      </c>
      <c r="K27" s="1">
        <v>10</v>
      </c>
      <c r="M27" s="3"/>
      <c r="N27" s="2" t="e">
        <f>((L27-M27)/M27)*100</f>
        <v>#DIV/0!</v>
      </c>
    </row>
    <row r="28" spans="1:14" x14ac:dyDescent="0.3">
      <c r="B28" s="4"/>
      <c r="C28" s="4"/>
      <c r="D28" s="2"/>
      <c r="G28" s="4"/>
      <c r="H28" s="4"/>
      <c r="I28" s="6"/>
      <c r="L28" s="4"/>
      <c r="M28" s="4"/>
      <c r="N28" s="6"/>
    </row>
    <row r="29" spans="1:14" x14ac:dyDescent="0.3">
      <c r="A29" s="2" t="s">
        <v>11</v>
      </c>
      <c r="B29" s="4"/>
      <c r="C29" s="4"/>
      <c r="D29" s="2"/>
      <c r="F29" s="2" t="s">
        <v>11</v>
      </c>
      <c r="G29" s="4"/>
      <c r="H29" s="4"/>
      <c r="I29" s="2"/>
      <c r="K29" s="2" t="s">
        <v>11</v>
      </c>
      <c r="L29" s="4"/>
      <c r="M29" s="4"/>
      <c r="N29" s="2"/>
    </row>
    <row r="30" spans="1:14" x14ac:dyDescent="0.3">
      <c r="A30" s="2" t="s">
        <v>8</v>
      </c>
      <c r="B30" s="4"/>
      <c r="C30" s="4"/>
      <c r="D30" s="2"/>
      <c r="F30" s="2" t="s">
        <v>9</v>
      </c>
      <c r="G30" s="4"/>
      <c r="H30" s="4"/>
      <c r="I30" s="2"/>
      <c r="K30" s="2" t="s">
        <v>10</v>
      </c>
      <c r="L30" s="4"/>
      <c r="M30" s="4"/>
      <c r="N30" s="2"/>
    </row>
    <row r="31" spans="1:14" x14ac:dyDescent="0.3">
      <c r="A31" s="1" t="s">
        <v>19</v>
      </c>
      <c r="B31" s="4" t="s">
        <v>4</v>
      </c>
      <c r="C31" s="4" t="s">
        <v>15</v>
      </c>
      <c r="D31" s="2" t="s">
        <v>5</v>
      </c>
      <c r="F31" s="1" t="s">
        <v>19</v>
      </c>
      <c r="G31" s="4" t="s">
        <v>4</v>
      </c>
      <c r="H31" s="4" t="s">
        <v>15</v>
      </c>
      <c r="I31" s="2" t="s">
        <v>5</v>
      </c>
      <c r="K31" s="1" t="s">
        <v>19</v>
      </c>
      <c r="L31" s="4" t="s">
        <v>4</v>
      </c>
      <c r="M31" s="4" t="s">
        <v>15</v>
      </c>
      <c r="N31" s="2" t="s">
        <v>5</v>
      </c>
    </row>
    <row r="32" spans="1:14" x14ac:dyDescent="0.3">
      <c r="A32" s="1">
        <v>0.01</v>
      </c>
      <c r="C32" s="3"/>
      <c r="D32" s="2" t="e">
        <f t="shared" ref="D32:D34" si="9">((B32-C32)/C32)*100</f>
        <v>#DIV/0!</v>
      </c>
      <c r="F32" s="1">
        <v>0.01</v>
      </c>
      <c r="H32" s="3"/>
      <c r="I32" s="2">
        <f>IFERROR((((G32-H32)/H32)*100), 0)</f>
        <v>0</v>
      </c>
      <c r="K32" s="1">
        <v>0.01</v>
      </c>
      <c r="M32" s="3"/>
      <c r="N32" s="2" t="e">
        <f t="shared" ref="N32:N34" si="10">((L32-M32)/M32)*100</f>
        <v>#DIV/0!</v>
      </c>
    </row>
    <row r="33" spans="1:14" x14ac:dyDescent="0.3">
      <c r="A33" s="1">
        <v>0.1</v>
      </c>
      <c r="C33" s="3"/>
      <c r="D33" s="2" t="e">
        <f t="shared" si="9"/>
        <v>#DIV/0!</v>
      </c>
      <c r="F33" s="1">
        <v>0.1</v>
      </c>
      <c r="H33" s="3"/>
      <c r="I33" s="2" t="e">
        <f t="shared" ref="I33:I34" si="11">((G33-H33)/H33)*100</f>
        <v>#DIV/0!</v>
      </c>
      <c r="K33" s="1">
        <v>0.1</v>
      </c>
      <c r="M33" s="3"/>
      <c r="N33" s="2" t="e">
        <f t="shared" si="10"/>
        <v>#DIV/0!</v>
      </c>
    </row>
    <row r="34" spans="1:14" x14ac:dyDescent="0.3">
      <c r="A34" s="1">
        <v>1</v>
      </c>
      <c r="C34" s="3"/>
      <c r="D34" s="2" t="e">
        <f t="shared" si="9"/>
        <v>#DIV/0!</v>
      </c>
      <c r="F34" s="1">
        <v>1</v>
      </c>
      <c r="H34" s="3"/>
      <c r="I34" s="2" t="e">
        <f t="shared" si="11"/>
        <v>#DIV/0!</v>
      </c>
      <c r="K34" s="1">
        <v>1</v>
      </c>
      <c r="M34" s="3"/>
      <c r="N34" s="2" t="e">
        <f t="shared" si="10"/>
        <v>#DIV/0!</v>
      </c>
    </row>
    <row r="35" spans="1:14" x14ac:dyDescent="0.3">
      <c r="A35" s="1">
        <v>10</v>
      </c>
      <c r="C35" s="3"/>
      <c r="D35" s="2" t="e">
        <f>((B35-C35)/C35)*100</f>
        <v>#DIV/0!</v>
      </c>
      <c r="F35" s="1">
        <v>10</v>
      </c>
      <c r="H35" s="3"/>
      <c r="I35" s="2" t="e">
        <f>((G35-H35)/H35)*100</f>
        <v>#DIV/0!</v>
      </c>
      <c r="K35" s="1">
        <v>10</v>
      </c>
      <c r="M35" s="3"/>
      <c r="N35" s="2" t="e">
        <f>((L35-M35)/M35)*100</f>
        <v>#DIV/0!</v>
      </c>
    </row>
    <row r="36" spans="1:14" x14ac:dyDescent="0.3">
      <c r="A36" s="1"/>
      <c r="D36" s="1"/>
      <c r="F36" s="1"/>
      <c r="I36" s="1"/>
      <c r="K36" s="1"/>
      <c r="N36" s="1"/>
    </row>
    <row r="37" spans="1:14" x14ac:dyDescent="0.3">
      <c r="A37" s="1"/>
      <c r="D37" s="1"/>
      <c r="F37" s="1"/>
      <c r="I37" s="1"/>
      <c r="K37" s="1"/>
      <c r="N37" s="1"/>
    </row>
    <row r="38" spans="1:14" x14ac:dyDescent="0.3">
      <c r="A38" s="1"/>
      <c r="D38" s="1"/>
      <c r="F38" s="1"/>
      <c r="I38" s="1"/>
      <c r="K38" s="1"/>
      <c r="N38" s="1"/>
    </row>
    <row r="39" spans="1:14" x14ac:dyDescent="0.3">
      <c r="A39" s="1"/>
      <c r="D39" s="1"/>
      <c r="F39" s="1"/>
      <c r="I39" s="1"/>
      <c r="K39" s="1"/>
      <c r="N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E943-C9D8-44CD-A2E7-CB5E0336AF26}">
  <dimension ref="A1:N39"/>
  <sheetViews>
    <sheetView topLeftCell="A13" zoomScale="101" workbookViewId="0">
      <selection activeCell="F33" sqref="F33"/>
    </sheetView>
  </sheetViews>
  <sheetFormatPr defaultRowHeight="14.4" x14ac:dyDescent="0.3"/>
  <cols>
    <col min="1" max="1" width="27" bestFit="1" customWidth="1"/>
    <col min="2" max="3" width="12" style="5" bestFit="1" customWidth="1"/>
    <col min="4" max="4" width="10.109375" bestFit="1" customWidth="1"/>
    <col min="6" max="6" width="18.6640625" bestFit="1" customWidth="1"/>
    <col min="7" max="8" width="12" style="5" bestFit="1" customWidth="1"/>
    <col min="9" max="9" width="10.109375" bestFit="1" customWidth="1"/>
    <col min="11" max="11" width="18.6640625" bestFit="1" customWidth="1"/>
    <col min="12" max="13" width="12" style="5" bestFit="1" customWidth="1"/>
    <col min="14" max="14" width="10.109375" bestFit="1" customWidth="1"/>
  </cols>
  <sheetData>
    <row r="1" spans="1:14" x14ac:dyDescent="0.3">
      <c r="A1" s="1" t="s">
        <v>0</v>
      </c>
      <c r="B1" s="4"/>
      <c r="C1" s="4"/>
      <c r="D1" s="1"/>
      <c r="G1" s="4"/>
      <c r="H1" s="4"/>
      <c r="L1" s="4"/>
      <c r="M1" s="4"/>
    </row>
    <row r="2" spans="1:14" x14ac:dyDescent="0.3">
      <c r="A2" s="2" t="s">
        <v>17</v>
      </c>
      <c r="B2" s="4"/>
      <c r="C2" s="4"/>
      <c r="D2" s="1"/>
      <c r="G2" s="4"/>
      <c r="H2" s="4"/>
      <c r="L2" s="4"/>
      <c r="M2" s="4"/>
    </row>
    <row r="3" spans="1:14" x14ac:dyDescent="0.3">
      <c r="A3" s="1"/>
      <c r="B3" s="4"/>
      <c r="C3" s="4"/>
      <c r="D3" s="1"/>
      <c r="G3" s="4"/>
      <c r="H3" s="4"/>
      <c r="L3" s="4"/>
      <c r="M3" s="4"/>
    </row>
    <row r="4" spans="1:14" x14ac:dyDescent="0.3">
      <c r="A4" s="2" t="s">
        <v>14</v>
      </c>
      <c r="B4" s="4"/>
      <c r="C4" s="4"/>
      <c r="D4" s="1"/>
      <c r="G4" s="4"/>
      <c r="H4" s="4"/>
      <c r="L4" s="4"/>
      <c r="M4" s="4"/>
    </row>
    <row r="5" spans="1:14" x14ac:dyDescent="0.3">
      <c r="A5" s="2" t="s">
        <v>2</v>
      </c>
      <c r="B5" s="4"/>
      <c r="C5" s="4"/>
      <c r="D5" s="1"/>
      <c r="F5" s="2" t="s">
        <v>2</v>
      </c>
      <c r="G5" s="4"/>
      <c r="H5" s="4"/>
      <c r="I5" s="1"/>
      <c r="K5" s="2" t="s">
        <v>2</v>
      </c>
      <c r="L5" s="4"/>
      <c r="M5" s="4"/>
      <c r="N5" s="1"/>
    </row>
    <row r="6" spans="1:14" x14ac:dyDescent="0.3">
      <c r="A6" s="2" t="s">
        <v>22</v>
      </c>
      <c r="B6" s="4"/>
      <c r="C6" s="4"/>
      <c r="D6" s="1"/>
      <c r="F6" s="2" t="s">
        <v>3</v>
      </c>
      <c r="G6" s="4"/>
      <c r="H6" s="4"/>
      <c r="I6" s="1"/>
      <c r="K6" s="2" t="s">
        <v>23</v>
      </c>
      <c r="L6" s="4"/>
      <c r="M6" s="4"/>
      <c r="N6" s="1"/>
    </row>
    <row r="7" spans="1:14" x14ac:dyDescent="0.3">
      <c r="A7" s="1" t="s">
        <v>19</v>
      </c>
      <c r="B7" s="4" t="s">
        <v>4</v>
      </c>
      <c r="C7" s="4" t="s">
        <v>16</v>
      </c>
      <c r="D7" s="1" t="s">
        <v>5</v>
      </c>
      <c r="F7" s="1" t="s">
        <v>19</v>
      </c>
      <c r="G7" s="4" t="s">
        <v>4</v>
      </c>
      <c r="H7" s="4" t="s">
        <v>16</v>
      </c>
      <c r="I7" s="1" t="s">
        <v>5</v>
      </c>
      <c r="K7" s="1" t="s">
        <v>19</v>
      </c>
      <c r="L7" s="4" t="s">
        <v>4</v>
      </c>
      <c r="M7" s="4" t="s">
        <v>16</v>
      </c>
      <c r="N7" s="1" t="s">
        <v>5</v>
      </c>
    </row>
    <row r="8" spans="1:14" x14ac:dyDescent="0.3">
      <c r="A8" s="1">
        <v>0.01</v>
      </c>
      <c r="C8" s="8"/>
      <c r="D8" s="9" t="e">
        <f>((B8-C8)/C8)*100</f>
        <v>#DIV/0!</v>
      </c>
      <c r="F8" s="1">
        <v>0.01</v>
      </c>
      <c r="H8" s="8"/>
      <c r="I8" s="9">
        <f>IFERROR((((G8-H8)/H8)*100), 0)</f>
        <v>0</v>
      </c>
      <c r="K8" s="1">
        <v>0.01</v>
      </c>
      <c r="M8" s="8"/>
      <c r="N8" s="9" t="e">
        <f t="shared" ref="N8:N10" si="0">((L8-M8)/M8)*100</f>
        <v>#DIV/0!</v>
      </c>
    </row>
    <row r="9" spans="1:14" x14ac:dyDescent="0.3">
      <c r="A9" s="1">
        <v>0.1</v>
      </c>
      <c r="C9" s="8"/>
      <c r="D9" s="9" t="e">
        <f>((B9-C9)/C9)*100</f>
        <v>#DIV/0!</v>
      </c>
      <c r="F9" s="1">
        <v>0.1</v>
      </c>
      <c r="H9" s="8"/>
      <c r="I9" s="9" t="e">
        <f>((G9-H9)/H9)*100</f>
        <v>#DIV/0!</v>
      </c>
      <c r="K9" s="1">
        <v>0.1</v>
      </c>
      <c r="M9" s="8"/>
      <c r="N9" s="9" t="e">
        <f t="shared" si="0"/>
        <v>#DIV/0!</v>
      </c>
    </row>
    <row r="10" spans="1:14" x14ac:dyDescent="0.3">
      <c r="A10" s="1">
        <v>1</v>
      </c>
      <c r="C10" s="8"/>
      <c r="D10" s="9" t="e">
        <f>((B10-C10)/C10)*100</f>
        <v>#DIV/0!</v>
      </c>
      <c r="F10" s="1">
        <v>1</v>
      </c>
      <c r="H10" s="8"/>
      <c r="I10" s="9" t="e">
        <f>((G10-H10)/H10)*100</f>
        <v>#DIV/0!</v>
      </c>
      <c r="K10" s="1">
        <v>1</v>
      </c>
      <c r="M10" s="8"/>
      <c r="N10" s="9" t="e">
        <f t="shared" si="0"/>
        <v>#DIV/0!</v>
      </c>
    </row>
    <row r="11" spans="1:14" x14ac:dyDescent="0.3">
      <c r="A11" s="1">
        <v>10</v>
      </c>
      <c r="C11" s="8"/>
      <c r="D11" s="9" t="e">
        <f>((B11-C11)/C11)*100</f>
        <v>#DIV/0!</v>
      </c>
      <c r="F11" s="1">
        <v>10</v>
      </c>
      <c r="H11" s="8"/>
      <c r="I11" s="9" t="e">
        <f>((G11-H11)/H11)*100</f>
        <v>#DIV/0!</v>
      </c>
      <c r="K11" s="1">
        <v>10</v>
      </c>
      <c r="M11" s="8"/>
      <c r="N11" s="9" t="e">
        <f>((L11-M11)/M11)*100</f>
        <v>#DIV/0!</v>
      </c>
    </row>
    <row r="12" spans="1:14" x14ac:dyDescent="0.3">
      <c r="B12" s="4"/>
      <c r="C12" s="4"/>
      <c r="D12" s="9"/>
      <c r="G12" s="4"/>
      <c r="H12" s="4"/>
      <c r="I12" s="9"/>
      <c r="L12" s="4"/>
      <c r="M12" s="4"/>
      <c r="N12" s="9"/>
    </row>
    <row r="13" spans="1:14" x14ac:dyDescent="0.3">
      <c r="A13" s="2" t="s">
        <v>2</v>
      </c>
      <c r="B13" s="4"/>
      <c r="C13" s="4"/>
      <c r="D13" s="9"/>
      <c r="F13" s="2" t="s">
        <v>2</v>
      </c>
      <c r="G13" s="4"/>
      <c r="H13" s="4"/>
      <c r="I13" s="9"/>
      <c r="K13" s="2" t="s">
        <v>2</v>
      </c>
      <c r="L13" s="4"/>
      <c r="M13" s="4"/>
      <c r="N13" s="9"/>
    </row>
    <row r="14" spans="1:14" x14ac:dyDescent="0.3">
      <c r="A14" s="2" t="s">
        <v>24</v>
      </c>
      <c r="B14" s="4"/>
      <c r="C14" s="4"/>
      <c r="D14" s="9"/>
      <c r="F14" s="2" t="s">
        <v>25</v>
      </c>
      <c r="G14" s="4"/>
      <c r="H14" s="4"/>
      <c r="I14" s="9"/>
      <c r="K14" s="2" t="s">
        <v>7</v>
      </c>
      <c r="L14" s="4"/>
      <c r="M14" s="4"/>
      <c r="N14" s="9"/>
    </row>
    <row r="15" spans="1:14" x14ac:dyDescent="0.3">
      <c r="A15" s="1" t="s">
        <v>19</v>
      </c>
      <c r="B15" s="4" t="s">
        <v>4</v>
      </c>
      <c r="C15" s="4" t="s">
        <v>16</v>
      </c>
      <c r="D15" s="9" t="s">
        <v>5</v>
      </c>
      <c r="F15" s="1" t="s">
        <v>19</v>
      </c>
      <c r="G15" s="4" t="s">
        <v>4</v>
      </c>
      <c r="H15" s="4" t="s">
        <v>16</v>
      </c>
      <c r="I15" s="9" t="s">
        <v>5</v>
      </c>
      <c r="K15" s="1" t="s">
        <v>19</v>
      </c>
      <c r="L15" s="4" t="s">
        <v>4</v>
      </c>
      <c r="M15" s="4" t="s">
        <v>16</v>
      </c>
      <c r="N15" s="9" t="s">
        <v>5</v>
      </c>
    </row>
    <row r="16" spans="1:14" x14ac:dyDescent="0.3">
      <c r="A16" s="1">
        <v>0.01</v>
      </c>
      <c r="C16" s="7"/>
      <c r="D16" s="9" t="e">
        <f t="shared" ref="D16:D18" si="1">((B16-C16)/C16)*100</f>
        <v>#DIV/0!</v>
      </c>
      <c r="F16" s="1">
        <v>0.01</v>
      </c>
      <c r="H16" s="7"/>
      <c r="I16" s="9">
        <f>IFERROR((((G16-H16)/H16)*100), 0)</f>
        <v>0</v>
      </c>
      <c r="K16" s="1">
        <v>0.01</v>
      </c>
      <c r="M16" s="7"/>
      <c r="N16" s="9" t="e">
        <f t="shared" ref="N16:N18" si="2">((L16-M16)/M16)*100</f>
        <v>#DIV/0!</v>
      </c>
    </row>
    <row r="17" spans="1:14" x14ac:dyDescent="0.3">
      <c r="A17" s="1">
        <v>0.1</v>
      </c>
      <c r="C17" s="7"/>
      <c r="D17" s="9" t="e">
        <f t="shared" si="1"/>
        <v>#DIV/0!</v>
      </c>
      <c r="F17" s="1">
        <v>0.1</v>
      </c>
      <c r="H17" s="7"/>
      <c r="I17" s="9" t="e">
        <f t="shared" ref="I17:I18" si="3">((G17-H17)/H17)*100</f>
        <v>#DIV/0!</v>
      </c>
      <c r="K17" s="1">
        <v>0.1</v>
      </c>
      <c r="M17" s="7"/>
      <c r="N17" s="9" t="e">
        <f t="shared" si="2"/>
        <v>#DIV/0!</v>
      </c>
    </row>
    <row r="18" spans="1:14" x14ac:dyDescent="0.3">
      <c r="A18" s="1">
        <v>1</v>
      </c>
      <c r="C18" s="7"/>
      <c r="D18" s="9" t="e">
        <f t="shared" si="1"/>
        <v>#DIV/0!</v>
      </c>
      <c r="F18" s="1">
        <v>1</v>
      </c>
      <c r="H18" s="7"/>
      <c r="I18" s="9" t="e">
        <f t="shared" si="3"/>
        <v>#DIV/0!</v>
      </c>
      <c r="K18" s="1">
        <v>1</v>
      </c>
      <c r="M18" s="7"/>
      <c r="N18" s="9" t="e">
        <f t="shared" si="2"/>
        <v>#DIV/0!</v>
      </c>
    </row>
    <row r="19" spans="1:14" x14ac:dyDescent="0.3">
      <c r="A19" s="1">
        <v>10</v>
      </c>
      <c r="C19" s="7"/>
      <c r="D19" s="9" t="e">
        <f>((B19-C19)/C19)*100</f>
        <v>#DIV/0!</v>
      </c>
      <c r="F19" s="1">
        <v>10</v>
      </c>
      <c r="H19" s="7"/>
      <c r="I19" s="9" t="e">
        <f>((G19-H19)/H19)*100</f>
        <v>#DIV/0!</v>
      </c>
      <c r="K19" s="1">
        <v>10</v>
      </c>
      <c r="M19" s="7"/>
      <c r="N19" s="9" t="e">
        <f>((L19-M19)/M19)*100</f>
        <v>#DIV/0!</v>
      </c>
    </row>
    <row r="20" spans="1:14" x14ac:dyDescent="0.3">
      <c r="D20" s="9"/>
      <c r="I20" s="9"/>
      <c r="N20" s="9"/>
    </row>
    <row r="21" spans="1:14" x14ac:dyDescent="0.3">
      <c r="A21" s="2" t="s">
        <v>11</v>
      </c>
      <c r="B21" s="4"/>
      <c r="C21" s="4"/>
      <c r="D21" s="9"/>
      <c r="F21" s="2" t="s">
        <v>11</v>
      </c>
      <c r="G21" s="4"/>
      <c r="H21" s="4"/>
      <c r="I21" s="9"/>
      <c r="K21" s="2" t="s">
        <v>11</v>
      </c>
      <c r="L21" s="4"/>
      <c r="M21" s="4"/>
      <c r="N21" s="9"/>
    </row>
    <row r="22" spans="1:14" x14ac:dyDescent="0.3">
      <c r="A22" s="2" t="s">
        <v>22</v>
      </c>
      <c r="B22" s="4"/>
      <c r="C22" s="4"/>
      <c r="D22" s="1"/>
      <c r="F22" s="2" t="s">
        <v>3</v>
      </c>
      <c r="G22" s="4"/>
      <c r="H22" s="4"/>
      <c r="I22" s="1"/>
      <c r="K22" s="2" t="s">
        <v>23</v>
      </c>
      <c r="L22" s="4"/>
      <c r="M22" s="4"/>
      <c r="N22" s="9"/>
    </row>
    <row r="23" spans="1:14" x14ac:dyDescent="0.3">
      <c r="A23" s="1" t="s">
        <v>19</v>
      </c>
      <c r="B23" s="4" t="s">
        <v>4</v>
      </c>
      <c r="C23" s="4" t="s">
        <v>16</v>
      </c>
      <c r="D23" s="9" t="s">
        <v>5</v>
      </c>
      <c r="F23" s="1" t="s">
        <v>19</v>
      </c>
      <c r="G23" s="4" t="s">
        <v>4</v>
      </c>
      <c r="H23" s="4" t="s">
        <v>16</v>
      </c>
      <c r="I23" s="9" t="s">
        <v>5</v>
      </c>
      <c r="K23" s="1" t="s">
        <v>19</v>
      </c>
      <c r="L23" s="4" t="s">
        <v>4</v>
      </c>
      <c r="M23" s="4" t="s">
        <v>16</v>
      </c>
      <c r="N23" s="9" t="s">
        <v>5</v>
      </c>
    </row>
    <row r="24" spans="1:14" x14ac:dyDescent="0.3">
      <c r="A24" s="1">
        <v>0.01</v>
      </c>
      <c r="B24">
        <v>51.395261154460897</v>
      </c>
      <c r="C24" s="7">
        <v>51.119062222008999</v>
      </c>
      <c r="D24" s="9">
        <f>((B24-C24)/C24)*100</f>
        <v>0.54030516297887432</v>
      </c>
      <c r="F24" s="1">
        <v>0.01</v>
      </c>
      <c r="G24">
        <v>0</v>
      </c>
      <c r="H24" s="7">
        <v>0</v>
      </c>
      <c r="I24" s="9">
        <f>IFERROR((((G24-H24)/H24)*100), 0)</f>
        <v>0</v>
      </c>
      <c r="K24" s="1">
        <v>0.01</v>
      </c>
      <c r="L24" s="5">
        <v>5.3235800442035301E-7</v>
      </c>
      <c r="M24" s="3">
        <v>0</v>
      </c>
      <c r="N24" s="9">
        <f>IFERROR((((L24-M24)/M24)*100), 0)</f>
        <v>0</v>
      </c>
    </row>
    <row r="25" spans="1:14" x14ac:dyDescent="0.3">
      <c r="A25" s="1">
        <v>0.1</v>
      </c>
      <c r="B25">
        <v>51.127937183488498</v>
      </c>
      <c r="C25" s="7">
        <v>50.884653851084103</v>
      </c>
      <c r="D25" s="9">
        <f>((B25-C25)/C25)*100</f>
        <v>0.47810747247367252</v>
      </c>
      <c r="F25" s="1">
        <v>0.1</v>
      </c>
      <c r="G25" s="5">
        <v>5.3001905245369397E-6</v>
      </c>
      <c r="H25" s="7">
        <v>4.95990501473595E-6</v>
      </c>
      <c r="I25" s="9">
        <f>((G25-H25)/H25)*100</f>
        <v>6.8607263403229801</v>
      </c>
      <c r="K25" s="1">
        <v>0.1</v>
      </c>
      <c r="L25">
        <v>2.0347190966739999E-4</v>
      </c>
      <c r="M25" s="3">
        <v>1.9909727635756999E-4</v>
      </c>
      <c r="N25" s="9">
        <f t="shared" ref="N25:N26" si="4">((L25-M25)/M25)*100</f>
        <v>2.1972341309046102</v>
      </c>
    </row>
    <row r="26" spans="1:14" x14ac:dyDescent="0.3">
      <c r="A26" s="1">
        <v>1</v>
      </c>
      <c r="B26">
        <v>44.1219001200365</v>
      </c>
      <c r="C26" s="7">
        <v>41.3777117016988</v>
      </c>
      <c r="D26" s="9">
        <f>((B26-C26)/C26)*100</f>
        <v>6.6320448992471341</v>
      </c>
      <c r="F26" s="1">
        <v>1</v>
      </c>
      <c r="G26" s="5">
        <v>4.2760292512648798E-5</v>
      </c>
      <c r="H26" s="7">
        <v>4.3027394250357499E-5</v>
      </c>
      <c r="I26" s="9">
        <f>((G26-H26)/H26)*100</f>
        <v>-0.62077135360452729</v>
      </c>
      <c r="K26" s="1">
        <v>1</v>
      </c>
      <c r="L26">
        <v>0.120310325518747</v>
      </c>
      <c r="M26" s="3">
        <v>0.121370238263066</v>
      </c>
      <c r="N26" s="9">
        <f t="shared" si="4"/>
        <v>-0.87328883875277508</v>
      </c>
    </row>
    <row r="27" spans="1:14" x14ac:dyDescent="0.3">
      <c r="A27" s="1">
        <v>10</v>
      </c>
      <c r="B27">
        <v>10.3502142947873</v>
      </c>
      <c r="C27" s="7">
        <v>9.20602074697854</v>
      </c>
      <c r="D27" s="9">
        <f>((B27-C27)/C27)*100</f>
        <v>12.428752652814621</v>
      </c>
      <c r="F27" s="1">
        <v>10</v>
      </c>
      <c r="G27">
        <v>1.64112606793657E-2</v>
      </c>
      <c r="H27" s="7">
        <v>2.2804722106308201E-2</v>
      </c>
      <c r="I27" s="9">
        <f>((G27-H27)/H27)*100</f>
        <v>-28.035691016703744</v>
      </c>
      <c r="K27" s="1">
        <v>10</v>
      </c>
      <c r="L27">
        <v>0.75492018672251204</v>
      </c>
      <c r="M27" s="3">
        <v>0.73987595206097401</v>
      </c>
      <c r="N27" s="9">
        <f>((L27-M27)/M27)*100</f>
        <v>2.033345538482676</v>
      </c>
    </row>
    <row r="28" spans="1:14" x14ac:dyDescent="0.3">
      <c r="B28" s="4"/>
      <c r="C28" s="11"/>
      <c r="D28" s="9"/>
      <c r="G28" s="4"/>
      <c r="H28" s="11"/>
      <c r="I28" s="9"/>
      <c r="L28" s="4"/>
      <c r="M28" s="11"/>
      <c r="N28" s="9"/>
    </row>
    <row r="29" spans="1:14" x14ac:dyDescent="0.3">
      <c r="A29" s="2" t="s">
        <v>11</v>
      </c>
      <c r="B29" s="4"/>
      <c r="C29" s="11"/>
      <c r="D29" s="9"/>
      <c r="F29" s="2" t="s">
        <v>11</v>
      </c>
      <c r="G29" s="4"/>
      <c r="H29" s="11"/>
      <c r="I29" s="9"/>
      <c r="K29" s="2" t="s">
        <v>11</v>
      </c>
      <c r="L29" s="4"/>
      <c r="M29" s="11"/>
      <c r="N29" s="9"/>
    </row>
    <row r="30" spans="1:14" x14ac:dyDescent="0.3">
      <c r="A30" s="2" t="s">
        <v>24</v>
      </c>
      <c r="B30" s="4"/>
      <c r="C30" s="11"/>
      <c r="D30" s="9"/>
      <c r="F30" s="2" t="s">
        <v>25</v>
      </c>
      <c r="G30" s="4"/>
      <c r="H30" s="11"/>
      <c r="I30" s="9"/>
      <c r="K30" s="2" t="s">
        <v>7</v>
      </c>
      <c r="L30" s="4"/>
      <c r="M30" s="11"/>
      <c r="N30" s="9"/>
    </row>
    <row r="31" spans="1:14" x14ac:dyDescent="0.3">
      <c r="A31" s="1" t="s">
        <v>19</v>
      </c>
      <c r="B31" s="4" t="s">
        <v>4</v>
      </c>
      <c r="C31" s="11" t="s">
        <v>16</v>
      </c>
      <c r="D31" s="9" t="s">
        <v>5</v>
      </c>
      <c r="F31" s="1" t="s">
        <v>19</v>
      </c>
      <c r="G31" s="4" t="s">
        <v>4</v>
      </c>
      <c r="H31" s="11" t="s">
        <v>16</v>
      </c>
      <c r="I31" s="9" t="s">
        <v>5</v>
      </c>
      <c r="K31" s="1" t="s">
        <v>19</v>
      </c>
      <c r="L31" s="4" t="s">
        <v>4</v>
      </c>
      <c r="M31" s="11" t="s">
        <v>16</v>
      </c>
      <c r="N31" s="9" t="s">
        <v>5</v>
      </c>
    </row>
    <row r="32" spans="1:14" x14ac:dyDescent="0.3">
      <c r="A32" s="1">
        <v>0.01</v>
      </c>
      <c r="B32">
        <v>0</v>
      </c>
      <c r="C32" s="3">
        <v>0</v>
      </c>
      <c r="D32" s="9">
        <f>IFERROR((((B32-C32)/C32)*100), 0)</f>
        <v>0</v>
      </c>
      <c r="F32" s="1">
        <v>0.01</v>
      </c>
      <c r="G32">
        <v>0</v>
      </c>
      <c r="H32" s="3">
        <v>0</v>
      </c>
      <c r="I32" s="9">
        <f>IFERROR((((G32-H32)/H32)*100), 0)</f>
        <v>0</v>
      </c>
      <c r="K32" s="1">
        <v>0.01</v>
      </c>
      <c r="L32">
        <v>0</v>
      </c>
      <c r="M32" s="3">
        <v>0</v>
      </c>
      <c r="N32" s="9">
        <f>IFERROR((((L32-M32)/M32)*100), 0)</f>
        <v>0</v>
      </c>
    </row>
    <row r="33" spans="1:14" x14ac:dyDescent="0.3">
      <c r="A33" s="1">
        <v>0.1</v>
      </c>
      <c r="B33">
        <v>1.064474713841E-4</v>
      </c>
      <c r="C33" s="3">
        <v>1.0494911193046001E-4</v>
      </c>
      <c r="D33" s="9">
        <f t="shared" ref="D33:D34" si="5">((B33-C33)/C33)*100</f>
        <v>1.4277009362716835</v>
      </c>
      <c r="F33" s="1">
        <v>0.1</v>
      </c>
      <c r="G33" s="5">
        <v>1.8508466629028399E-5</v>
      </c>
      <c r="H33" s="3">
        <v>2.2376626591342801E-5</v>
      </c>
      <c r="I33" s="9">
        <f t="shared" ref="I33:I34" si="6">((G33-H33)/H33)*100</f>
        <v>-17.286609071855978</v>
      </c>
      <c r="K33" s="1">
        <v>0.1</v>
      </c>
      <c r="L33" s="5">
        <v>6.5552707406012196E-6</v>
      </c>
      <c r="M33" s="3">
        <v>6.2142459259582401E-6</v>
      </c>
      <c r="N33" s="9">
        <f t="shared" ref="N33:N34" si="7">((L33-M33)/M33)*100</f>
        <v>5.4877907747172614</v>
      </c>
    </row>
    <row r="34" spans="1:14" x14ac:dyDescent="0.3">
      <c r="A34" s="1">
        <v>1</v>
      </c>
      <c r="B34">
        <v>5.5043583609019995E-4</v>
      </c>
      <c r="C34" s="3">
        <v>5.69173646801353E-4</v>
      </c>
      <c r="D34" s="9">
        <f t="shared" si="5"/>
        <v>-3.29210792109859</v>
      </c>
      <c r="F34" s="1">
        <v>1</v>
      </c>
      <c r="G34">
        <v>1.3389722428999999E-4</v>
      </c>
      <c r="H34" s="3">
        <v>1.7000150190338799E-4</v>
      </c>
      <c r="I34" s="9">
        <f t="shared" si="6"/>
        <v>-21.237622732242738</v>
      </c>
      <c r="K34" s="1">
        <v>1</v>
      </c>
      <c r="L34" s="5">
        <v>5.87291884769156E-5</v>
      </c>
      <c r="M34" s="3">
        <v>5.7587817224647203E-5</v>
      </c>
      <c r="N34" s="9">
        <f t="shared" si="7"/>
        <v>1.9819665117987797</v>
      </c>
    </row>
    <row r="35" spans="1:14" x14ac:dyDescent="0.3">
      <c r="A35" s="1">
        <v>10</v>
      </c>
      <c r="B35">
        <v>0.56488598166639803</v>
      </c>
      <c r="C35" s="3">
        <v>0.56917360310003595</v>
      </c>
      <c r="D35" s="9">
        <f>((B35-C35)/C35)*100</f>
        <v>-0.75330644469194497</v>
      </c>
      <c r="F35" s="1">
        <v>10</v>
      </c>
      <c r="G35">
        <v>0.100480348859501</v>
      </c>
      <c r="H35" s="3">
        <v>0.134144239027183</v>
      </c>
      <c r="I35" s="9">
        <f>((G35-H35)/H35)*100</f>
        <v>-25.095293254345684</v>
      </c>
      <c r="K35" s="1">
        <v>10</v>
      </c>
      <c r="L35">
        <v>1.2660511946139499E-2</v>
      </c>
      <c r="M35" s="3">
        <v>1.3052762747487699E-2</v>
      </c>
      <c r="N35" s="9">
        <f>((L35-M35)/M35)*100</f>
        <v>-3.0051170693629397</v>
      </c>
    </row>
    <row r="36" spans="1:14" x14ac:dyDescent="0.3">
      <c r="A36" s="1"/>
      <c r="D36" s="1"/>
      <c r="F36" s="1"/>
      <c r="I36" s="1"/>
      <c r="K36" s="1"/>
      <c r="N36" s="1"/>
    </row>
    <row r="37" spans="1:14" x14ac:dyDescent="0.3">
      <c r="A37" s="1"/>
      <c r="D37" s="1"/>
      <c r="F37" s="1"/>
      <c r="I37" s="1"/>
      <c r="K37" s="1"/>
      <c r="N37" s="1"/>
    </row>
    <row r="38" spans="1:14" x14ac:dyDescent="0.3">
      <c r="A38" s="1"/>
      <c r="D38" s="1"/>
      <c r="F38" s="1"/>
      <c r="I38" s="1"/>
      <c r="K38" s="1"/>
      <c r="N38" s="1"/>
    </row>
    <row r="39" spans="1:14" x14ac:dyDescent="0.3">
      <c r="A39" s="1"/>
      <c r="D39" s="1"/>
      <c r="F39" s="1"/>
      <c r="I39" s="1"/>
      <c r="K39" s="1"/>
      <c r="N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Cortical_bone</vt:lpstr>
      <vt:lpstr>Liver</vt:lpstr>
      <vt:lpstr>Lungs</vt:lpstr>
      <vt:lpstr>Thyroid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Albert Feliciano</dc:creator>
  <cp:lastModifiedBy>Clarence Albert Feliciano</cp:lastModifiedBy>
  <dcterms:created xsi:type="dcterms:W3CDTF">2026-08-10T03:17:05Z</dcterms:created>
  <dcterms:modified xsi:type="dcterms:W3CDTF">2026-10-23T06:00:28Z</dcterms:modified>
</cp:coreProperties>
</file>